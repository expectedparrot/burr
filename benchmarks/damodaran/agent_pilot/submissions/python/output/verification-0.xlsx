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Outputs" sheetId="3" state="visible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;[Red](#,##0.000000)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86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Input</t>
        </is>
      </c>
      <c r="B1" s="1" t="inlineStr">
        <is>
          <t>Value</t>
        </is>
      </c>
      <c r="C1" s="1" t="n"/>
      <c r="D1" s="1" t="inlineStr">
        <is>
          <t>Fixed source selections</t>
        </is>
      </c>
    </row>
    <row r="2">
      <c r="A2" t="inlineStr">
        <is>
          <t>beta</t>
        </is>
      </c>
      <c r="B2" s="2" t="n">
        <v>0.8</v>
      </c>
      <c r="D2" t="inlineStr">
        <is>
          <t>Public equity market weights; unchanged debt ratio in stable period</t>
        </is>
      </c>
    </row>
    <row r="3">
      <c r="A3" t="inlineStr">
        <is>
          <t>capex0</t>
        </is>
      </c>
      <c r="B3" s="2" t="n">
        <v>2152</v>
      </c>
      <c r="D3" t="inlineStr">
        <is>
          <t>CAPM cost of equity; beta and debt cost unchanged in stable period</t>
        </is>
      </c>
    </row>
    <row r="4">
      <c r="A4" t="inlineStr">
        <is>
          <t>cash</t>
        </is>
      </c>
      <c r="B4" s="2" t="n">
        <v>500</v>
      </c>
      <c r="D4" t="inlineStr">
        <is>
          <t>Fundamental growth, using current reinvestment rate and prior book capital</t>
        </is>
      </c>
    </row>
    <row r="5">
      <c r="A5" t="inlineStr">
        <is>
          <t>debt</t>
        </is>
      </c>
      <c r="B5" s="2" t="n">
        <v>1822</v>
      </c>
      <c r="D5" t="inlineStr">
        <is>
          <t>Capex, depreciation and revenue grow with earnings</t>
        </is>
      </c>
    </row>
    <row r="6">
      <c r="A6" t="inlineStr">
        <is>
          <t>debt_cost</t>
        </is>
      </c>
      <c r="B6" s="2" t="n">
        <v>0.055</v>
      </c>
      <c r="D6" t="inlineStr">
        <is>
          <t>Current working capital / revenue ratio, floored at zero</t>
        </is>
      </c>
    </row>
    <row r="7">
      <c r="A7" t="inlineStr">
        <is>
          <t>depreciation0</t>
        </is>
      </c>
      <c r="B7" s="2" t="n">
        <v>1228</v>
      </c>
      <c r="D7" t="inlineStr">
        <is>
          <t>Stable reinvestment = stable growth / stable return on capital</t>
        </is>
      </c>
    </row>
    <row r="8">
      <c r="A8" t="inlineStr">
        <is>
          <t>ebit0</t>
        </is>
      </c>
      <c r="B8" s="2" t="n">
        <v>5186</v>
      </c>
      <c r="D8" t="inlineStr">
        <is>
          <t>Five explicit forecast years, followed by terminal year</t>
        </is>
      </c>
    </row>
    <row r="9">
      <c r="A9" t="inlineStr">
        <is>
          <t>high_years</t>
        </is>
      </c>
      <c r="B9" s="2" t="n">
        <v>5</v>
      </c>
    </row>
    <row r="10">
      <c r="A10" t="inlineStr">
        <is>
          <t>options</t>
        </is>
      </c>
      <c r="B10" s="2" t="n">
        <v>1500</v>
      </c>
    </row>
    <row r="11">
      <c r="A11" t="inlineStr">
        <is>
          <t>prior_book_debt</t>
        </is>
      </c>
      <c r="B11" s="2" t="n">
        <v>1315</v>
      </c>
    </row>
    <row r="12">
      <c r="A12" t="inlineStr">
        <is>
          <t>prior_book_equity</t>
        </is>
      </c>
      <c r="B12" s="2" t="n">
        <v>12156</v>
      </c>
    </row>
    <row r="13">
      <c r="A13" t="inlineStr">
        <is>
          <t>revenue0</t>
        </is>
      </c>
      <c r="B13" s="2" t="n">
        <v>16701</v>
      </c>
    </row>
    <row r="14">
      <c r="A14" t="inlineStr">
        <is>
          <t>risk_premium</t>
        </is>
      </c>
      <c r="B14" s="2" t="n">
        <v>0.055</v>
      </c>
    </row>
    <row r="15">
      <c r="A15" t="inlineStr">
        <is>
          <t>riskfree</t>
        </is>
      </c>
      <c r="B15" s="2" t="n">
        <v>0.053</v>
      </c>
    </row>
    <row r="16">
      <c r="A16" t="inlineStr">
        <is>
          <t>share_price</t>
        </is>
      </c>
      <c r="B16" s="2" t="n">
        <v>125.5</v>
      </c>
    </row>
    <row r="17">
      <c r="A17" t="inlineStr">
        <is>
          <t>shares</t>
        </is>
      </c>
      <c r="B17" s="2" t="n">
        <v>993.5700000000001</v>
      </c>
    </row>
    <row r="18">
      <c r="A18" t="inlineStr">
        <is>
          <t>stable_growth</t>
        </is>
      </c>
      <c r="B18" s="2" t="n">
        <v>0.06</v>
      </c>
    </row>
    <row r="19">
      <c r="A19" t="inlineStr">
        <is>
          <t>stable_roc</t>
        </is>
      </c>
      <c r="B19" s="2" t="n">
        <v>0.12</v>
      </c>
    </row>
    <row r="20">
      <c r="A20" t="inlineStr">
        <is>
          <t>tax_rate</t>
        </is>
      </c>
      <c r="B20" s="2" t="n">
        <v>0.2849</v>
      </c>
    </row>
    <row r="21">
      <c r="A21" t="inlineStr">
        <is>
          <t>working_capital0</t>
        </is>
      </c>
      <c r="B21" s="2" t="n">
        <v>3755</v>
      </c>
    </row>
    <row r="22">
      <c r="A22" t="inlineStr">
        <is>
          <t>working_capital_change0</t>
        </is>
      </c>
      <c r="B22" s="2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Derived assumption</t>
        </is>
      </c>
      <c r="B1" s="1" t="inlineStr">
        <is>
          <t>Live formula</t>
        </is>
      </c>
      <c r="C1" s="1" t="n"/>
      <c r="D1" s="1" t="n"/>
      <c r="E1" s="1" t="n"/>
      <c r="F1" s="1" t="n"/>
      <c r="G1" s="1" t="n"/>
    </row>
    <row r="2">
      <c r="A2" t="inlineStr">
        <is>
          <t>Current NOPAT</t>
        </is>
      </c>
      <c r="B2" s="3">
        <f>Inputs!$B$8*(1-Inputs!$B$20)</f>
        <v/>
      </c>
    </row>
    <row r="3">
      <c r="A3" t="inlineStr">
        <is>
          <t>Return on capital</t>
        </is>
      </c>
      <c r="B3" s="3">
        <f>B2/(Inputs!$B$11+Inputs!$B$12)</f>
        <v/>
      </c>
    </row>
    <row r="4">
      <c r="A4" t="inlineStr">
        <is>
          <t>Reinvestment rate</t>
        </is>
      </c>
      <c r="B4" s="3">
        <f>(Inputs!$B$3-Inputs!$B$7+Inputs!$B$22)/B2</f>
        <v/>
      </c>
    </row>
    <row r="5">
      <c r="A5" t="inlineStr">
        <is>
          <t>High growth</t>
        </is>
      </c>
      <c r="B5" s="3">
        <f>B3*B4</f>
        <v/>
      </c>
    </row>
    <row r="6">
      <c r="A6" t="inlineStr">
        <is>
          <t>Cost of equity</t>
        </is>
      </c>
      <c r="B6" s="3">
        <f>Inputs!$B$15+Inputs!$B$2*Inputs!$B$14</f>
        <v/>
      </c>
    </row>
    <row r="7">
      <c r="A7" t="inlineStr">
        <is>
          <t>Equity weight</t>
        </is>
      </c>
      <c r="B7" s="3">
        <f>Inputs!$B$16*Inputs!$B$17/(Inputs!$B$5+Inputs!$B$16*Inputs!$B$17)</f>
        <v/>
      </c>
    </row>
    <row r="8">
      <c r="A8" t="inlineStr">
        <is>
          <t>Debt weight</t>
        </is>
      </c>
      <c r="B8" s="3">
        <f>1-B7</f>
        <v/>
      </c>
    </row>
    <row r="9">
      <c r="A9" t="inlineStr">
        <is>
          <t>After-tax debt cost</t>
        </is>
      </c>
      <c r="B9" s="3">
        <f>Inputs!$B$6*(1-Inputs!$B$20)</f>
        <v/>
      </c>
    </row>
    <row r="10">
      <c r="A10" t="inlineStr">
        <is>
          <t>WACC (both stages)</t>
        </is>
      </c>
      <c r="B10" s="3">
        <f>B6*B7+B9*B8</f>
        <v/>
      </c>
    </row>
    <row r="11">
      <c r="A11" t="inlineStr">
        <is>
          <t>Working capital ratio</t>
        </is>
      </c>
      <c r="B11" s="3">
        <f>MAX(0,Inputs!$B$21/Inputs!$B$13)</f>
        <v/>
      </c>
    </row>
    <row r="12">
      <c r="A12" t="inlineStr">
        <is>
          <t>Stable growth</t>
        </is>
      </c>
      <c r="B12" s="3">
        <f>Inputs!$B$18</f>
        <v/>
      </c>
    </row>
    <row r="13">
      <c r="A13" t="inlineStr">
        <is>
          <t>Stable return on capital</t>
        </is>
      </c>
      <c r="B13" s="3">
        <f>Inputs!$B$19</f>
        <v/>
      </c>
    </row>
    <row r="14"/>
    <row r="15">
      <c r="A15" t="inlineStr">
        <is>
          <t>Forecast metric</t>
        </is>
      </c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t="inlineStr">
        <is>
          <t>Terminal year</t>
        </is>
      </c>
    </row>
    <row r="16">
      <c r="A16" t="inlineStr">
        <is>
          <t>NOPAT</t>
        </is>
      </c>
      <c r="B16" s="3">
        <f>$B$2*(1+$B$5)</f>
        <v/>
      </c>
      <c r="C16" s="3">
        <f>B16*(1+$B$5)</f>
        <v/>
      </c>
      <c r="D16" s="3">
        <f>C16*(1+$B$5)</f>
        <v/>
      </c>
      <c r="E16" s="3">
        <f>D16*(1+$B$5)</f>
        <v/>
      </c>
      <c r="F16" s="3">
        <f>E16*(1+$B$5)</f>
        <v/>
      </c>
      <c r="G16" s="3">
        <f>$B$2*(1+$B$5)^Inputs!$B$9*(1+$B$12)</f>
        <v/>
      </c>
    </row>
    <row r="17">
      <c r="A17" t="inlineStr">
        <is>
          <t>Net capital spending</t>
        </is>
      </c>
      <c r="B17" s="3">
        <f>Inputs!$B$3*(1+$B$5)^B$15-Inputs!$B$7*(1+$B$5)^B$15</f>
        <v/>
      </c>
      <c r="C17" s="3">
        <f>Inputs!$B$3*(1+$B$5)^C$15-Inputs!$B$7*(1+$B$5)^C$15</f>
        <v/>
      </c>
      <c r="D17" s="3">
        <f>Inputs!$B$3*(1+$B$5)^D$15-Inputs!$B$7*(1+$B$5)^D$15</f>
        <v/>
      </c>
      <c r="E17" s="3">
        <f>Inputs!$B$3*(1+$B$5)^E$15-Inputs!$B$7*(1+$B$5)^E$15</f>
        <v/>
      </c>
      <c r="F17" s="3">
        <f>Inputs!$B$3*(1+$B$5)^F$15-Inputs!$B$7*(1+$B$5)^F$15</f>
        <v/>
      </c>
      <c r="G17" s="3">
        <f>($B$12/$B$13)*G16-G18</f>
        <v/>
      </c>
    </row>
    <row r="18">
      <c r="A18" t="inlineStr">
        <is>
          <t>Change in working capital</t>
        </is>
      </c>
      <c r="B18" s="3">
        <f>Inputs!$B$13*$B$11*((1+$B$5)^B$15-(1+$B$5)^(B$15-1))</f>
        <v/>
      </c>
      <c r="C18" s="3">
        <f>Inputs!$B$13*$B$11*((1+$B$5)^C$15-(1+$B$5)^(C$15-1))</f>
        <v/>
      </c>
      <c r="D18" s="3">
        <f>Inputs!$B$13*$B$11*((1+$B$5)^D$15-(1+$B$5)^(D$15-1))</f>
        <v/>
      </c>
      <c r="E18" s="3">
        <f>Inputs!$B$13*$B$11*((1+$B$5)^E$15-(1+$B$5)^(E$15-1))</f>
        <v/>
      </c>
      <c r="F18" s="3">
        <f>Inputs!$B$13*$B$11*((1+$B$5)^F$15-(1+$B$5)^(F$15-1))</f>
        <v/>
      </c>
      <c r="G18" s="3">
        <f>(Inputs!$B$13*(1+$B$5)^Inputs!$B$9*(1+$B$12)-Inputs!$B$13*(1+$B$5)^Inputs!$B$9)*$B$11</f>
        <v/>
      </c>
    </row>
    <row r="19">
      <c r="A19" t="inlineStr">
        <is>
          <t>FCFF</t>
        </is>
      </c>
      <c r="B19" s="3">
        <f>B16-B17-B18</f>
        <v/>
      </c>
      <c r="C19" s="3">
        <f>C16-C17-C18</f>
        <v/>
      </c>
      <c r="D19" s="3">
        <f>D16-D17-D18</f>
        <v/>
      </c>
      <c r="E19" s="3">
        <f>E16-E17-E18</f>
        <v/>
      </c>
      <c r="F19" s="3">
        <f>F16-F17-F18</f>
        <v/>
      </c>
      <c r="G19" s="3">
        <f>G16-G17-G18</f>
        <v/>
      </c>
    </row>
    <row r="20">
      <c r="A20" t="inlineStr">
        <is>
          <t>Present value of FCFF</t>
        </is>
      </c>
      <c r="B20" s="3">
        <f>B19/(1+$B$10)^B$15</f>
        <v/>
      </c>
      <c r="C20" s="3">
        <f>C19/(1+$B$10)^C$15</f>
        <v/>
      </c>
      <c r="D20" s="3">
        <f>D19/(1+$B$10)^D$15</f>
        <v/>
      </c>
      <c r="E20" s="3">
        <f>E19/(1+$B$10)^E$15</f>
        <v/>
      </c>
      <c r="F20" s="3">
        <f>F19/(1+$B$10)^F$15</f>
        <v/>
      </c>
    </row>
    <row r="21"/>
    <row r="22"/>
    <row r="23">
      <c r="A23" t="inlineStr">
        <is>
          <t>Terminal value</t>
        </is>
      </c>
      <c r="B23" s="3">
        <f>G19/(B10-B12)</f>
        <v/>
      </c>
    </row>
    <row r="24">
      <c r="A24" t="inlineStr">
        <is>
          <t>PV terminal value</t>
        </is>
      </c>
      <c r="B24" s="3">
        <f>B23/(1+B10)^Inputs!$B$9</f>
        <v/>
      </c>
    </row>
    <row r="25">
      <c r="A25" t="inlineStr">
        <is>
          <t>PV explicit cash flows</t>
        </is>
      </c>
      <c r="B25" s="3">
        <f>SUM(B20:F20)</f>
        <v/>
      </c>
    </row>
    <row r="26">
      <c r="A26" t="inlineStr">
        <is>
          <t>Enterprise value</t>
        </is>
      </c>
      <c r="B26" s="3">
        <f>B24+B25</f>
        <v/>
      </c>
    </row>
    <row r="27">
      <c r="A27" t="inlineStr">
        <is>
          <t>Equity before options</t>
        </is>
      </c>
      <c r="B27" s="3">
        <f>B26+Inputs!$B$4-Inputs!$B$5</f>
        <v/>
      </c>
    </row>
    <row r="28">
      <c r="A28" t="inlineStr">
        <is>
          <t>Equity per share</t>
        </is>
      </c>
      <c r="B28" s="3">
        <f>(B27-Inputs!$B$10)/Inputs!$B$17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Contract metric</t>
        </is>
      </c>
      <c r="B1" s="1" t="inlineStr">
        <is>
          <t>Value 1</t>
        </is>
      </c>
      <c r="C1" s="1" t="inlineStr">
        <is>
          <t>Value 2</t>
        </is>
      </c>
      <c r="D1" s="1" t="inlineStr">
        <is>
          <t>Value 3</t>
        </is>
      </c>
      <c r="E1" s="1" t="inlineStr">
        <is>
          <t>Value 4</t>
        </is>
      </c>
      <c r="F1" s="1" t="inlineStr">
        <is>
          <t>Value 5</t>
        </is>
      </c>
      <c r="G1" s="1" t="inlineStr">
        <is>
          <t>Terminal / value 6</t>
        </is>
      </c>
    </row>
    <row r="2">
      <c r="A2" t="inlineStr">
        <is>
          <t>after_tax_debt_cost</t>
        </is>
      </c>
      <c r="B2" s="3">
        <f>Model!B9</f>
        <v/>
      </c>
    </row>
    <row r="3">
      <c r="A3" t="inlineStr">
        <is>
          <t>cost_of_equity</t>
        </is>
      </c>
      <c r="B3" s="3">
        <f>Model!B6</f>
        <v/>
      </c>
    </row>
    <row r="4">
      <c r="A4" t="inlineStr">
        <is>
          <t>debt_weight</t>
        </is>
      </c>
      <c r="B4" s="3">
        <f>Model!B8</f>
        <v/>
      </c>
    </row>
    <row r="5">
      <c r="A5" t="inlineStr">
        <is>
          <t>equity_before_options</t>
        </is>
      </c>
      <c r="B5" s="3">
        <f>Model!B27</f>
        <v/>
      </c>
    </row>
    <row r="6">
      <c r="A6" t="inlineStr">
        <is>
          <t>ev</t>
        </is>
      </c>
      <c r="B6" s="3">
        <f>Model!B26</f>
        <v/>
      </c>
    </row>
    <row r="7">
      <c r="A7" t="inlineStr">
        <is>
          <t>fcff</t>
        </is>
      </c>
      <c r="B7" s="3">
        <f>Model!B19</f>
        <v/>
      </c>
      <c r="C7" s="3">
        <f>Model!C19</f>
        <v/>
      </c>
      <c r="D7" s="3">
        <f>Model!D19</f>
        <v/>
      </c>
      <c r="E7" s="3">
        <f>Model!E19</f>
        <v/>
      </c>
      <c r="F7" s="3">
        <f>Model!F19</f>
        <v/>
      </c>
      <c r="G7" s="3">
        <f>Model!G19</f>
        <v/>
      </c>
    </row>
    <row r="8">
      <c r="A8" t="inlineStr">
        <is>
          <t>high_growth</t>
        </is>
      </c>
      <c r="B8" s="3">
        <f>Model!B5</f>
        <v/>
      </c>
    </row>
    <row r="9">
      <c r="A9" t="inlineStr">
        <is>
          <t>net_capex</t>
        </is>
      </c>
      <c r="B9" s="3">
        <f>Model!B17</f>
        <v/>
      </c>
      <c r="C9" s="3">
        <f>Model!C17</f>
        <v/>
      </c>
      <c r="D9" s="3">
        <f>Model!D17</f>
        <v/>
      </c>
      <c r="E9" s="3">
        <f>Model!E17</f>
        <v/>
      </c>
      <c r="F9" s="3">
        <f>Model!F17</f>
        <v/>
      </c>
      <c r="G9" s="3">
        <f>Model!G17</f>
        <v/>
      </c>
    </row>
    <row r="10">
      <c r="A10" t="inlineStr">
        <is>
          <t>nopat</t>
        </is>
      </c>
      <c r="B10" s="3">
        <f>Model!B16</f>
        <v/>
      </c>
      <c r="C10" s="3">
        <f>Model!C16</f>
        <v/>
      </c>
      <c r="D10" s="3">
        <f>Model!D16</f>
        <v/>
      </c>
      <c r="E10" s="3">
        <f>Model!E16</f>
        <v/>
      </c>
      <c r="F10" s="3">
        <f>Model!F16</f>
        <v/>
      </c>
      <c r="G10" s="3">
        <f>Model!G16</f>
        <v/>
      </c>
    </row>
    <row r="11">
      <c r="A11" t="inlineStr">
        <is>
          <t>per_share</t>
        </is>
      </c>
      <c r="B11" s="3">
        <f>Model!B28</f>
        <v/>
      </c>
    </row>
    <row r="12">
      <c r="A12" t="inlineStr">
        <is>
          <t>pv_fcff</t>
        </is>
      </c>
      <c r="B12" s="3">
        <f>Model!B20</f>
        <v/>
      </c>
      <c r="C12" s="3">
        <f>Model!C20</f>
        <v/>
      </c>
      <c r="D12" s="3">
        <f>Model!D20</f>
        <v/>
      </c>
      <c r="E12" s="3">
        <f>Model!E20</f>
        <v/>
      </c>
      <c r="F12" s="3">
        <f>Model!F20</f>
        <v/>
      </c>
    </row>
    <row r="13">
      <c r="A13" t="inlineStr">
        <is>
          <t>pv_terminal</t>
        </is>
      </c>
      <c r="B13" s="3">
        <f>Model!B24</f>
        <v/>
      </c>
    </row>
    <row r="14">
      <c r="A14" t="inlineStr">
        <is>
          <t>terminal_value</t>
        </is>
      </c>
      <c r="B14" s="3">
        <f>Model!B23</f>
        <v/>
      </c>
    </row>
    <row r="15">
      <c r="A15" t="inlineStr">
        <is>
          <t>wacc</t>
        </is>
      </c>
      <c r="B15" s="3">
        <f>Model!B10</f>
        <v/>
      </c>
    </row>
    <row r="16">
      <c r="A16" t="inlineStr">
        <is>
          <t>working_capital_change</t>
        </is>
      </c>
      <c r="B16" s="3">
        <f>Model!B18</f>
        <v/>
      </c>
      <c r="C16" s="3">
        <f>Model!C18</f>
        <v/>
      </c>
      <c r="D16" s="3">
        <f>Model!D18</f>
        <v/>
      </c>
      <c r="E16" s="3">
        <f>Model!E18</f>
        <v/>
      </c>
      <c r="F16" s="3">
        <f>Model!F18</f>
        <v/>
      </c>
      <c r="G16" s="3">
        <f>Model!G18</f>
        <v/>
      </c>
    </row>
    <row r="17">
      <c r="A17" t="inlineStr">
        <is>
          <t>working_capital_ratio</t>
        </is>
      </c>
      <c r="B17" s="3">
        <f>Model!B11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2026-10-07T11:23:54Z</dcterms:created>
  <dcterms:modified xsi:type="dcterms:W3CDTF">2026-10-07T11:23:54Z</dcterms:modified>
</cp:coreProperties>
</file>