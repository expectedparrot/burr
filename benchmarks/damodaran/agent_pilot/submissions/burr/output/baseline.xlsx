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del" sheetId="2" state="visible" r:id="rId2"/>
    <sheet name="DCF" sheetId="3" state="visible" r:id="rId3"/>
    <sheet name="Actuals" sheetId="4" state="visible" r:id="rId4"/>
  </sheets>
  <definedNames>
    <definedName name="_xlnm._FilterDatabase" localSheetId="0" hidden="1">'Assumptions'!$A$1:$A$1</definedName>
    <definedName name="_xlnm._FilterDatabase" localSheetId="1" hidden="1">'Model'!$A$1:$A$1</definedName>
    <definedName name="_xlnm._FilterDatabase" localSheetId="2" hidden="1">'DCF'!$A$1:$A$1</definedName>
    <definedName name="_xlnm._FilterDatabase" localSheetId="3" hidden="1">'Actuals'!$A$1:$C$1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;[Red](#,##0.00)"/>
  </numFmts>
  <fonts count="6">
    <font>
      <name val="Calibri"/>
      <family val="2"/>
      <color theme="1"/>
      <sz val="11"/>
      <scheme val="minor"/>
    </font>
    <font>
      <name val="Aptos"/>
      <color rgb="00000000"/>
      <sz val="11"/>
    </font>
    <font>
      <name val="Aptos"/>
      <b val="1"/>
      <color rgb="00FFFFFF"/>
    </font>
    <font>
      <name val="Aptos"/>
      <color rgb="000000FF"/>
    </font>
    <font>
      <name val="Aptos"/>
      <color rgb="00008000"/>
    </font>
    <font>
      <name val="Aptos"/>
      <color rgb="00000000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64" fontId="3" fillId="0" borderId="0" applyProtection="1" pivotButton="0" quotePrefix="0" xfId="0">
      <protection locked="0" hidden="0"/>
    </xf>
    <xf numFmtId="165" fontId="4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burr</author>
  </authors>
  <commentList>
    <comment ref="A2" authorId="0" shapeId="0">
      <text>
        <t>rationale: Supplied model input; source workbook assumption, not independently verified financial fact.
source: source.xlsx:NewFCFF2Stage!D52</t>
      </text>
    </comment>
    <comment ref="A3" authorId="0" shapeId="0">
      <text>
        <t>rationale: Supplied model input; source workbook assumption, not independently verified financial fact.
source: source.xlsx:NewFCFF2Stage!D22</t>
      </text>
    </comment>
    <comment ref="A4" authorId="0" shapeId="0">
      <text>
        <t>rationale: Supplied model input; source workbook assumption, not independently verified financial fact.
source: source.xlsx:NewFCFF2Stage!D28</t>
      </text>
    </comment>
    <comment ref="A5" authorId="0" shapeId="0">
      <text>
        <t>rationale: Supplied model input; source workbook assumption, not independently verified financial fact.
source: source.xlsx:NewFCFF2Stage!F38</t>
      </text>
    </comment>
    <comment ref="A6" authorId="0" shapeId="0">
      <text>
        <t>rationale: Supplied model input; source workbook assumption, not independently verified financial fact.
source: source.xlsx:NewFCFF2Stage!E56</t>
      </text>
    </comment>
    <comment ref="A7" authorId="0" shapeId="0">
      <text>
        <t>rationale: Supplied model input; source workbook assumption, not independently verified financial fact.
source: source.xlsx:NewFCFF2Stage!D23</t>
      </text>
    </comment>
    <comment ref="A8" authorId="0" shapeId="0">
      <text>
        <t>rationale: Supplied model input; source workbook assumption, not independently verified financial fact.
source: source.xlsx:NewFCFF2Stage!D20</t>
      </text>
    </comment>
    <comment ref="A9" authorId="0" shapeId="0">
      <text>
        <t>rationale: Five explicit high-growth years plus the first stable year.
source: Source workbook E43 and N133</t>
      </text>
    </comment>
    <comment ref="A10" authorId="0" shapeId="0">
      <text>
        <t>rationale: Supplied model input; source workbook assumption, not independently verified financial fact.
source: source.xlsx:NewFCFF2Stage!E43</t>
      </text>
    </comment>
    <comment ref="A11" authorId="0" shapeId="0">
      <text>
        <t>rationale: Supplied model input; source workbook assumption, not independently verified financial fact.
source: source.xlsx:NewFCFF2Stage!D29</t>
      </text>
    </comment>
    <comment ref="A12" authorId="0" shapeId="0">
      <text>
        <t>rationale: Supplied model input; source workbook assumption, not independently verified financial fact.
source: source.xlsx:NewFCFF2Stage!E30</t>
      </text>
    </comment>
    <comment ref="A13" authorId="0" shapeId="0">
      <text>
        <t>rationale: Supplied model input; source workbook assumption, not independently verified financial fact.
source: source.xlsx:NewFCFF2Stage!E31</t>
      </text>
    </comment>
    <comment ref="A14" authorId="0" shapeId="0">
      <text>
        <t>rationale: Supplied model input; source workbook assumption, not independently verified financial fact.
source: source.xlsx:NewFCFF2Stage!D25</t>
      </text>
    </comment>
    <comment ref="A15" authorId="0" shapeId="0">
      <text>
        <t>rationale: Supplied model input; source workbook assumption, not independently verified financial fact.
source: source.xlsx:NewFCFF2Stage!D54</t>
      </text>
    </comment>
    <comment ref="A16" authorId="0" shapeId="0">
      <text>
        <t>rationale: Supplied model input; source workbook assumption, not independently verified financial fact.
source: source.xlsx:NewFCFF2Stage!D53</t>
      </text>
    </comment>
    <comment ref="A17" authorId="0" shapeId="0">
      <text>
        <t>rationale: Supplied model input; source workbook assumption, not independently verified financial fact.
source: source.xlsx:NewFCFF2Stage!F36</t>
      </text>
    </comment>
    <comment ref="A18" authorId="0" shapeId="0">
      <text>
        <t>rationale: Supplied model input; source workbook assumption, not independently verified financial fact.
source: source.xlsx:NewFCFF2Stage!F37</t>
      </text>
    </comment>
    <comment ref="A19" authorId="0" shapeId="0">
      <text>
        <t>rationale: Supplied model input; source workbook assumption, not independently verified financial fact.
source: source.xlsx:NewFCFF2Stage!E79</t>
      </text>
    </comment>
    <comment ref="A20" authorId="0" shapeId="0">
      <text>
        <t>rationale: Supplied model input; source workbook assumption, not independently verified financial fact.
source: source.xlsx:NewFCFF2Stage!F101</t>
      </text>
    </comment>
    <comment ref="A21" authorId="0" shapeId="0">
      <text>
        <t>rationale: Supplied model input; source workbook assumption, not independently verified financial fact.
source: source.xlsx:NewFCFF2Stage!D24</t>
      </text>
    </comment>
    <comment ref="A22" authorId="0" shapeId="0">
      <text>
        <t>rationale: Supplied model input; source workbook assumption, not independently verified financial fact.
source: source.xlsx:NewFCFF2Stage!D26</t>
      </text>
    </comment>
    <comment ref="A23" authorId="0" shapeId="0">
      <text>
        <t>rationale: Supplied model input; source workbook assumption, not independently verified financial fact.
source: source.xlsx:NewFCFF2Stage!D27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G27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</s:cols>
  <s:sheetData>
    <s:row r="1">
      <s:c r="A1" s="1" t="inlineStr">
        <s:is>
          <s:t>Line</s:t>
        </s:is>
      </s:c>
      <s:c r="B1" s="1" t="n">
        <s:v>1</s:v>
      </s:c>
      <s:c r="C1" s="1" t="n">
        <s:v>2</s:v>
      </s:c>
      <s:c r="D1" s="1" t="n">
        <s:v>3</s:v>
      </s:c>
      <s:c r="E1" s="1" t="n">
        <s:v>4</s:v>
      </s:c>
      <s:c r="F1" s="1" t="n">
        <s:v>5</s:v>
      </s:c>
      <s:c r="G1" s="1" t="n">
        <s:v>6</s:v>
      </s:c>
    </s:row>
    <s:row r="2">
      <s:c r="A2" s="2" t="inlineStr">
        <s:is>
          <s:t>beta</s:t>
        </s:is>
      </s:c>
      <s:c r="B2" s="3" t="n">
        <s:v>0.8</s:v>
      </s:c>
      <s:c r="C2" s="3" t="n">
        <s:v>0.8</s:v>
      </s:c>
      <s:c r="D2" s="3" t="n">
        <s:v>0.8</s:v>
      </s:c>
      <s:c r="E2" s="3" t="n">
        <s:v>0.8</s:v>
      </s:c>
      <s:c r="F2" s="3" t="n">
        <s:v>0.8</s:v>
      </s:c>
      <s:c r="G2" s="3" t="n">
        <s:v>0.8</s:v>
      </s:c>
    </s:row>
    <s:row r="3">
      <s:c r="A3" s="2" t="inlineStr">
        <s:is>
          <s:t>capex0</s:t>
        </s:is>
      </s:c>
      <s:c r="B3" s="3" t="n">
        <s:v>2152</s:v>
      </s:c>
      <s:c r="C3" s="3" t="n">
        <s:v>2152</s:v>
      </s:c>
      <s:c r="D3" s="3" t="n">
        <s:v>2152</s:v>
      </s:c>
      <s:c r="E3" s="3" t="n">
        <s:v>2152</s:v>
      </s:c>
      <s:c r="F3" s="3" t="n">
        <s:v>2152</s:v>
      </s:c>
      <s:c r="G3" s="3" t="n">
        <s:v>2152</s:v>
      </s:c>
    </s:row>
    <s:row r="4">
      <s:c r="A4" s="2" t="inlineStr">
        <s:is>
          <s:t>cash</s:t>
        </s:is>
      </s:c>
      <s:c r="B4" s="3" t="n">
        <s:v>500</s:v>
      </s:c>
      <s:c r="C4" s="3" t="n">
        <s:v>500</s:v>
      </s:c>
      <s:c r="D4" s="3" t="n">
        <s:v>500</s:v>
      </s:c>
      <s:c r="E4" s="3" t="n">
        <s:v>500</s:v>
      </s:c>
      <s:c r="F4" s="3" t="n">
        <s:v>500</s:v>
      </s:c>
      <s:c r="G4" s="3" t="n">
        <s:v>500</s:v>
      </s:c>
    </s:row>
    <s:row r="5">
      <s:c r="A5" s="2" t="inlineStr">
        <s:is>
          <s:t>debt</s:t>
        </s:is>
      </s:c>
      <s:c r="B5" s="3" t="n">
        <s:v>1822</s:v>
      </s:c>
      <s:c r="C5" s="3" t="n">
        <s:v>1822</s:v>
      </s:c>
      <s:c r="D5" s="3" t="n">
        <s:v>1822</s:v>
      </s:c>
      <s:c r="E5" s="3" t="n">
        <s:v>1822</s:v>
      </s:c>
      <s:c r="F5" s="3" t="n">
        <s:v>1822</s:v>
      </s:c>
      <s:c r="G5" s="3" t="n">
        <s:v>1822</s:v>
      </s:c>
    </s:row>
    <s:row r="6">
      <s:c r="A6" s="2" t="inlineStr">
        <s:is>
          <s:t>debt_cost</s:t>
        </s:is>
      </s:c>
      <s:c r="B6" s="3" t="n">
        <s:v>0.055</s:v>
      </s:c>
      <s:c r="C6" s="3" t="n">
        <s:v>0.055</s:v>
      </s:c>
      <s:c r="D6" s="3" t="n">
        <s:v>0.055</s:v>
      </s:c>
      <s:c r="E6" s="3" t="n">
        <s:v>0.055</s:v>
      </s:c>
      <s:c r="F6" s="3" t="n">
        <s:v>0.055</s:v>
      </s:c>
      <s:c r="G6" s="3" t="n">
        <s:v>0.055</s:v>
      </s:c>
    </s:row>
    <s:row r="7">
      <s:c r="A7" s="2" t="inlineStr">
        <s:is>
          <s:t>depreciation0</s:t>
        </s:is>
      </s:c>
      <s:c r="B7" s="3" t="n">
        <s:v>1228</s:v>
      </s:c>
      <s:c r="C7" s="3" t="n">
        <s:v>1228</s:v>
      </s:c>
      <s:c r="D7" s="3" t="n">
        <s:v>1228</s:v>
      </s:c>
      <s:c r="E7" s="3" t="n">
        <s:v>1228</s:v>
      </s:c>
      <s:c r="F7" s="3" t="n">
        <s:v>1228</s:v>
      </s:c>
      <s:c r="G7" s="3" t="n">
        <s:v>1228</s:v>
      </s:c>
    </s:row>
    <s:row r="8">
      <s:c r="A8" s="2" t="inlineStr">
        <s:is>
          <s:t>ebit0</s:t>
        </s:is>
      </s:c>
      <s:c r="B8" s="3" t="n">
        <s:v>5186</s:v>
      </s:c>
      <s:c r="C8" s="3" t="n">
        <s:v>5186</s:v>
      </s:c>
      <s:c r="D8" s="3" t="n">
        <s:v>5186</s:v>
      </s:c>
      <s:c r="E8" s="3" t="n">
        <s:v>5186</s:v>
      </s:c>
      <s:c r="F8" s="3" t="n">
        <s:v>5186</s:v>
      </s:c>
      <s:c r="G8" s="3" t="n">
        <s:v>5186</s:v>
      </s:c>
    </s:row>
    <s:row r="9">
      <s:c r="A9" s="2" t="inlineStr">
        <s:is>
          <s:t>high_phase</s:t>
        </s:is>
      </s:c>
      <s:c r="B9" s="3" t="n">
        <s:v>1</s:v>
      </s:c>
      <s:c r="C9" s="3" t="n">
        <s:v>1</s:v>
      </s:c>
      <s:c r="D9" s="3" t="n">
        <s:v>1</s:v>
      </s:c>
      <s:c r="E9" s="3" t="n">
        <s:v>1</s:v>
      </s:c>
      <s:c r="F9" s="3" t="n">
        <s:v>1</s:v>
      </s:c>
      <s:c r="G9" s="3" t="n">
        <s:v>0</s:v>
      </s:c>
    </s:row>
    <s:row r="10">
      <s:c r="A10" s="2" t="inlineStr">
        <s:is>
          <s:t>high_years</s:t>
        </s:is>
      </s:c>
      <s:c r="B10" s="3" t="n">
        <s:v>5</s:v>
      </s:c>
      <s:c r="C10" s="3" t="n">
        <s:v>5</s:v>
      </s:c>
      <s:c r="D10" s="3" t="n">
        <s:v>5</s:v>
      </s:c>
      <s:c r="E10" s="3" t="n">
        <s:v>5</s:v>
      </s:c>
      <s:c r="F10" s="3" t="n">
        <s:v>5</s:v>
      </s:c>
      <s:c r="G10" s="3" t="n">
        <s:v>5</s:v>
      </s:c>
    </s:row>
    <s:row r="11">
      <s:c r="A11" s="2" t="inlineStr">
        <s:is>
          <s:t>options</s:t>
        </s:is>
      </s:c>
      <s:c r="B11" s="3" t="n">
        <s:v>1500</s:v>
      </s:c>
      <s:c r="C11" s="3" t="n">
        <s:v>1500</s:v>
      </s:c>
      <s:c r="D11" s="3" t="n">
        <s:v>1500</s:v>
      </s:c>
      <s:c r="E11" s="3" t="n">
        <s:v>1500</s:v>
      </s:c>
      <s:c r="F11" s="3" t="n">
        <s:v>1500</s:v>
      </s:c>
      <s:c r="G11" s="3" t="n">
        <s:v>1500</s:v>
      </s:c>
    </s:row>
    <s:row r="12">
      <s:c r="A12" s="2" t="inlineStr">
        <s:is>
          <s:t>prior_book_debt</s:t>
        </s:is>
      </s:c>
      <s:c r="B12" s="3" t="n">
        <s:v>1315</s:v>
      </s:c>
      <s:c r="C12" s="3" t="n">
        <s:v>1315</s:v>
      </s:c>
      <s:c r="D12" s="3" t="n">
        <s:v>1315</s:v>
      </s:c>
      <s:c r="E12" s="3" t="n">
        <s:v>1315</s:v>
      </s:c>
      <s:c r="F12" s="3" t="n">
        <s:v>1315</s:v>
      </s:c>
      <s:c r="G12" s="3" t="n">
        <s:v>1315</s:v>
      </s:c>
    </s:row>
    <s:row r="13">
      <s:c r="A13" s="2" t="inlineStr">
        <s:is>
          <s:t>prior_book_equity</s:t>
        </s:is>
      </s:c>
      <s:c r="B13" s="3" t="n">
        <s:v>12156</s:v>
      </s:c>
      <s:c r="C13" s="3" t="n">
        <s:v>12156</s:v>
      </s:c>
      <s:c r="D13" s="3" t="n">
        <s:v>12156</s:v>
      </s:c>
      <s:c r="E13" s="3" t="n">
        <s:v>12156</s:v>
      </s:c>
      <s:c r="F13" s="3" t="n">
        <s:v>12156</s:v>
      </s:c>
      <s:c r="G13" s="3" t="n">
        <s:v>12156</s:v>
      </s:c>
    </s:row>
    <s:row r="14">
      <s:c r="A14" s="2" t="inlineStr">
        <s:is>
          <s:t>revenue0</s:t>
        </s:is>
      </s:c>
      <s:c r="B14" s="3" t="n">
        <s:v>16701</s:v>
      </s:c>
      <s:c r="C14" s="3" t="n">
        <s:v>16701</s:v>
      </s:c>
      <s:c r="D14" s="3" t="n">
        <s:v>16701</s:v>
      </s:c>
      <s:c r="E14" s="3" t="n">
        <s:v>16701</s:v>
      </s:c>
      <s:c r="F14" s="3" t="n">
        <s:v>16701</s:v>
      </s:c>
      <s:c r="G14" s="3" t="n">
        <s:v>16701</s:v>
      </s:c>
    </s:row>
    <s:row r="15">
      <s:c r="A15" s="2" t="inlineStr">
        <s:is>
          <s:t>risk_premium</s:t>
        </s:is>
      </s:c>
      <s:c r="B15" s="3" t="n">
        <s:v>0.055</s:v>
      </s:c>
      <s:c r="C15" s="3" t="n">
        <s:v>0.055</s:v>
      </s:c>
      <s:c r="D15" s="3" t="n">
        <s:v>0.055</s:v>
      </s:c>
      <s:c r="E15" s="3" t="n">
        <s:v>0.055</s:v>
      </s:c>
      <s:c r="F15" s="3" t="n">
        <s:v>0.055</s:v>
      </s:c>
      <s:c r="G15" s="3" t="n">
        <s:v>0.055</s:v>
      </s:c>
    </s:row>
    <s:row r="16">
      <s:c r="A16" s="2" t="inlineStr">
        <s:is>
          <s:t>riskfree</s:t>
        </s:is>
      </s:c>
      <s:c r="B16" s="3" t="n">
        <s:v>0.053</s:v>
      </s:c>
      <s:c r="C16" s="3" t="n">
        <s:v>0.053</s:v>
      </s:c>
      <s:c r="D16" s="3" t="n">
        <s:v>0.053</s:v>
      </s:c>
      <s:c r="E16" s="3" t="n">
        <s:v>0.053</s:v>
      </s:c>
      <s:c r="F16" s="3" t="n">
        <s:v>0.053</s:v>
      </s:c>
      <s:c r="G16" s="3" t="n">
        <s:v>0.053</s:v>
      </s:c>
    </s:row>
    <s:row r="17">
      <s:c r="A17" s="2" t="inlineStr">
        <s:is>
          <s:t>share_price</s:t>
        </s:is>
      </s:c>
      <s:c r="B17" s="3" t="n">
        <s:v>125.5</s:v>
      </s:c>
      <s:c r="C17" s="3" t="n">
        <s:v>125.5</s:v>
      </s:c>
      <s:c r="D17" s="3" t="n">
        <s:v>125.5</s:v>
      </s:c>
      <s:c r="E17" s="3" t="n">
        <s:v>125.5</s:v>
      </s:c>
      <s:c r="F17" s="3" t="n">
        <s:v>125.5</s:v>
      </s:c>
      <s:c r="G17" s="3" t="n">
        <s:v>125.5</s:v>
      </s:c>
    </s:row>
    <s:row r="18">
      <s:c r="A18" s="2" t="inlineStr">
        <s:is>
          <s:t>shares</s:t>
        </s:is>
      </s:c>
      <s:c r="B18" s="3" t="n">
        <s:v>993.5700000000001</s:v>
      </s:c>
      <s:c r="C18" s="3" t="n">
        <s:v>993.5700000000001</s:v>
      </s:c>
      <s:c r="D18" s="3" t="n">
        <s:v>993.5700000000001</s:v>
      </s:c>
      <s:c r="E18" s="3" t="n">
        <s:v>993.5700000000001</s:v>
      </s:c>
      <s:c r="F18" s="3" t="n">
        <s:v>993.5700000000001</s:v>
      </s:c>
      <s:c r="G18" s="3" t="n">
        <s:v>993.5700000000001</s:v>
      </s:c>
    </s:row>
    <s:row r="19">
      <s:c r="A19" s="2" t="inlineStr">
        <s:is>
          <s:t>stable_growth</s:t>
        </s:is>
      </s:c>
      <s:c r="B19" s="3" t="n">
        <s:v>0.06</s:v>
      </s:c>
      <s:c r="C19" s="3" t="n">
        <s:v>0.06</s:v>
      </s:c>
      <s:c r="D19" s="3" t="n">
        <s:v>0.06</s:v>
      </s:c>
      <s:c r="E19" s="3" t="n">
        <s:v>0.06</s:v>
      </s:c>
      <s:c r="F19" s="3" t="n">
        <s:v>0.06</s:v>
      </s:c>
      <s:c r="G19" s="3" t="n">
        <s:v>0.06</s:v>
      </s:c>
    </s:row>
    <s:row r="20">
      <s:c r="A20" s="2" t="inlineStr">
        <s:is>
          <s:t>stable_roc</s:t>
        </s:is>
      </s:c>
      <s:c r="B20" s="3" t="n">
        <s:v>0.12</s:v>
      </s:c>
      <s:c r="C20" s="3" t="n">
        <s:v>0.12</s:v>
      </s:c>
      <s:c r="D20" s="3" t="n">
        <s:v>0.12</s:v>
      </s:c>
      <s:c r="E20" s="3" t="n">
        <s:v>0.12</s:v>
      </s:c>
      <s:c r="F20" s="3" t="n">
        <s:v>0.12</s:v>
      </s:c>
      <s:c r="G20" s="3" t="n">
        <s:v>0.12</s:v>
      </s:c>
    </s:row>
    <s:row r="21">
      <s:c r="A21" s="2" t="inlineStr">
        <s:is>
          <s:t>tax_rate</s:t>
        </s:is>
      </s:c>
      <s:c r="B21" s="3" t="n">
        <s:v>0.2849</s:v>
      </s:c>
      <s:c r="C21" s="3" t="n">
        <s:v>0.2849</s:v>
      </s:c>
      <s:c r="D21" s="3" t="n">
        <s:v>0.2849</s:v>
      </s:c>
      <s:c r="E21" s="3" t="n">
        <s:v>0.2849</s:v>
      </s:c>
      <s:c r="F21" s="3" t="n">
        <s:v>0.2849</s:v>
      </s:c>
      <s:c r="G21" s="3" t="n">
        <s:v>0.2849</s:v>
      </s:c>
    </s:row>
    <s:row r="22">
      <s:c r="A22" s="2" t="inlineStr">
        <s:is>
          <s:t>working_capital0</s:t>
        </s:is>
      </s:c>
      <s:c r="B22" s="3" t="n">
        <s:v>3755</s:v>
      </s:c>
      <s:c r="C22" s="3" t="n">
        <s:v>3755</s:v>
      </s:c>
      <s:c r="D22" s="3" t="n">
        <s:v>3755</s:v>
      </s:c>
      <s:c r="E22" s="3" t="n">
        <s:v>3755</s:v>
      </s:c>
      <s:c r="F22" s="3" t="n">
        <s:v>3755</s:v>
      </s:c>
      <s:c r="G22" s="3" t="n">
        <s:v>3755</s:v>
      </s:c>
    </s:row>
    <s:row r="23">
      <s:c r="A23" s="2" t="inlineStr">
        <s:is>
          <s:t>working_capital_change0</s:t>
        </s:is>
      </s:c>
      <s:c r="B23" s="3" t="n">
        <s:v>499</s:v>
      </s:c>
      <s:c r="C23" s="3" t="n">
        <s:v>499</s:v>
      </s:c>
      <s:c r="D23" s="3" t="n">
        <s:v>499</s:v>
      </s:c>
      <s:c r="E23" s="3" t="n">
        <s:v>499</s:v>
      </s:c>
      <s:c r="F23" s="3" t="n">
        <s:v>499</s:v>
      </s:c>
      <s:c r="G23" s="3" t="n">
        <s:v>499</s:v>
      </s:c>
    </s:row>
    <s:row r="24">
      <s:c r="A24" s="2" t="inlineStr">
        <s:is>
          <s:t>valuation.wacc</s:t>
        </s:is>
      </s:c>
      <s:c r="B24" s="3" t="n">
        <s:v>0.09616947555679844</s:v>
      </s:c>
      <s:c r="C24" s="3" t="n">
        <s:v>0.09616947555679844</s:v>
      </s:c>
      <s:c r="D24" s="3" t="n">
        <s:v>0.09616947555679844</s:v>
      </s:c>
      <s:c r="E24" s="3" t="n">
        <s:v>0.09616947555679844</s:v>
      </s:c>
      <s:c r="F24" s="3" t="n">
        <s:v>0.09616947555679844</s:v>
      </s:c>
      <s:c r="G24" s="3" t="n">
        <s:v>0.09616947555679844</s:v>
      </s:c>
    </s:row>
    <s:row r="25">
      <s:c r="A25" s="2" t="inlineStr">
        <s:is>
          <s:t>valuation.terminal_growth</s:t>
        </s:is>
      </s:c>
      <s:c r="B25" s="3" t="n">
        <s:v>0.06</s:v>
      </s:c>
      <s:c r="C25" s="3" t="n">
        <s:v>0.06</s:v>
      </s:c>
      <s:c r="D25" s="3" t="n">
        <s:v>0.06</s:v>
      </s:c>
      <s:c r="E25" s="3" t="n">
        <s:v>0.06</s:v>
      </s:c>
      <s:c r="F25" s="3" t="n">
        <s:v>0.06</s:v>
      </s:c>
      <s:c r="G25" s="3" t="n">
        <s:v>0.06</s:v>
      </s:c>
    </s:row>
    <s:row r="26">
      <s:c r="A26" s="2" t="inlineStr">
        <s:is>
          <s:t>valuation.net_cash</s:t>
        </s:is>
      </s:c>
      <s:c r="B26" s="3" t="n">
        <s:v>-2822</s:v>
      </s:c>
      <s:c r="C26" s="3" t="n">
        <s:v>-2822</s:v>
      </s:c>
      <s:c r="D26" s="3" t="n">
        <s:v>-2822</s:v>
      </s:c>
      <s:c r="E26" s="3" t="n">
        <s:v>-2822</s:v>
      </s:c>
      <s:c r="F26" s="3" t="n">
        <s:v>-2822</s:v>
      </s:c>
      <s:c r="G26" s="3" t="n">
        <s:v>-2822</s:v>
      </s:c>
    </s:row>
    <s:row r="27">
      <s:c r="A27" s="2" t="inlineStr">
        <s:is>
          <s:t>valuation.shares</s:t>
        </s:is>
      </s:c>
      <s:c r="B27" s="3" t="n">
        <s:v>993.5700000000001</s:v>
      </s:c>
      <s:c r="C27" s="3" t="n">
        <s:v>993.5700000000001</s:v>
      </s:c>
      <s:c r="D27" s="3" t="n">
        <s:v>993.5700000000001</s:v>
      </s:c>
      <s:c r="E27" s="3" t="n">
        <s:v>993.5700000000001</s:v>
      </s:c>
      <s:c r="F27" s="3" t="n">
        <s:v>993.5700000000001</s:v>
      </s:c>
      <s:c r="G27" s="3" t="n">
        <s:v>993.5700000000001</s:v>
      </s:c>
    </s:row>
  </s:sheetData>
  <s:autoFilter ref="A1:A1"/>
  <s:pageMargins left="0.75" right="0.75" top="1" bottom="1" header="0.5" footer="0.5"/>
  <s:legacyDrawing r:id="anysvml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G34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</s:cols>
  <s:sheetData>
    <s:row r="1">
      <s:c r="A1" s="1" t="inlineStr">
        <s:is>
          <s:t>Line</s:t>
        </s:is>
      </s:c>
      <s:c r="B1" s="1" t="n">
        <s:v>1</s:v>
      </s:c>
      <s:c r="C1" s="1" t="n">
        <s:v>2</s:v>
      </s:c>
      <s:c r="D1" s="1" t="n">
        <s:v>3</s:v>
      </s:c>
      <s:c r="E1" s="1" t="n">
        <s:v>4</s:v>
      </s:c>
      <s:c r="F1" s="1" t="n">
        <s:v>5</s:v>
      </s:c>
      <s:c r="G1" s="1" t="n">
        <s:v>6</s:v>
      </s:c>
    </s:row>
    <s:row r="2">
      <s:c r="A2" s="2" t="inlineStr">
        <s:is>
          <s:t>after_tax_debt_cost</s:t>
        </s:is>
      </s:c>
      <s:c r="B2" s="4">
        <s:f>(Assumptions!B6*(1-Assumptions!B21))</s:f>
        <s:v>0.039330500000000004</s:v>
      </s:c>
      <s:c r="C2" s="4">
        <s:f>(Assumptions!C6*(1-Assumptions!C21))</s:f>
        <s:v>0.039330500000000004</s:v>
      </s:c>
      <s:c r="D2" s="4">
        <s:f>(Assumptions!D6*(1-Assumptions!D21))</s:f>
        <s:v>0.039330500000000004</s:v>
      </s:c>
      <s:c r="E2" s="4">
        <s:f>(Assumptions!E6*(1-Assumptions!E21))</s:f>
        <s:v>0.039330500000000004</s:v>
      </s:c>
      <s:c r="F2" s="4">
        <s:f>(Assumptions!F6*(1-Assumptions!F21))</s:f>
        <s:v>0.039330500000000004</s:v>
      </s:c>
      <s:c r="G2" s="4">
        <s:f>(Assumptions!G6*(1-Assumptions!G21))</s:f>
        <s:v>0.039330500000000004</s:v>
      </s:c>
    </s:row>
    <s:row r="3">
      <s:c r="A3" s="2" t="inlineStr">
        <s:is>
          <s:t>capex_high</s:t>
        </s:is>
      </s:c>
      <s:c r="B3" s="4">
        <s:f>(Assumptions!B3*B30)</s:f>
        <s:v>2379.325068666023</s:v>
      </s:c>
      <s:c r="C3" s="4">
        <s:f>(Assumptions!B3*C30)</s:f>
        <s:v>2630.663467649896</s:v>
      </s:c>
      <s:c r="D3" s="4">
        <s:f>(Assumptions!B3*D30)</s:f>
        <s:v>2908.5518289048737</s:v>
      </s:c>
      <s:c r="E3" s="4">
        <s:f>(Assumptions!B3*E30)</s:f>
        <s:v>3215.794739789859</s:v>
      </s:c>
      <s:c r="F3" s="4">
        <s:f>(Assumptions!B3*F30)</s:f>
        <s:v>3555.493048357966</s:v>
      </s:c>
      <s:c r="G3" s="4">
        <s:f>(Assumptions!B3*G30)</s:f>
        <s:v>3931.0751586551514</s:v>
      </s:c>
    </s:row>
    <s:row r="4">
      <s:c r="A4" s="2" t="inlineStr">
        <s:is>
          <s:t>cost_of_equity</s:t>
        </s:is>
      </s:c>
      <s:c r="B4" s="4">
        <s:f>(Assumptions!B16+(Assumptions!B2*Assumptions!B15))</s:f>
        <s:v>0.097</s:v>
      </s:c>
      <s:c r="C4" s="4">
        <s:f>(Assumptions!C16+(Assumptions!C2*Assumptions!C15))</s:f>
        <s:v>0.097</s:v>
      </s:c>
      <s:c r="D4" s="4">
        <s:f>(Assumptions!D16+(Assumptions!D2*Assumptions!D15))</s:f>
        <s:v>0.097</s:v>
      </s:c>
      <s:c r="E4" s="4">
        <s:f>(Assumptions!E16+(Assumptions!E2*Assumptions!E15))</s:f>
        <s:v>0.097</s:v>
      </s:c>
      <s:c r="F4" s="4">
        <s:f>(Assumptions!F16+(Assumptions!F2*Assumptions!F15))</s:f>
        <s:v>0.097</s:v>
      </s:c>
      <s:c r="G4" s="4">
        <s:f>(Assumptions!G16+(Assumptions!G2*Assumptions!G15))</s:f>
        <s:v>0.097</s:v>
      </s:c>
    </s:row>
    <s:row r="5">
      <s:c r="A5" s="2" t="inlineStr">
        <s:is>
          <s:t>cumulative_pv_fcff</s:t>
        </s:is>
      </s:c>
      <s:c r="B5" s="4">
        <s:f>((0*Assumptions!B4)+B21)</s:f>
        <s:v>2446.6941064103603</s:v>
      </s:c>
      <s:c r="C5" s="5">
        <s:f>(B5+C21)</s:f>
        <s:v>4914.514136600319</s:v>
      </s:c>
      <s:c r="D5" s="5">
        <s:f>(C5+D21)</s:f>
        <s:v>7403.642501871055</s:v>
      </s:c>
      <s:c r="E5" s="5">
        <s:f>(D5+E21)</s:f>
        <s:v>9914.26318854992</s:v>
      </s:c>
      <s:c r="F5" s="5">
        <s:f>(E5+F21)</s:f>
        <s:v>12446.561771589957</s:v>
      </s:c>
      <s:c r="G5" s="5">
        <s:f>(F5+G21)</s:f>
        <s:v>14318.39219148247</s:v>
      </s:c>
    </s:row>
    <s:row r="6">
      <s:c r="A6" s="2" t="inlineStr">
        <s:is>
          <s:t>debt_weight</s:t>
        </s:is>
      </s:c>
      <s:c r="B6" s="5">
        <s:f>(1-B12)</s:f>
        <s:v>0.014401450388880632</s:v>
      </s:c>
      <s:c r="C6" s="5">
        <s:f>(1-C12)</s:f>
        <s:v>0.014401450388880632</s:v>
      </s:c>
      <s:c r="D6" s="5">
        <s:f>(1-D12)</s:f>
        <s:v>0.014401450388880632</s:v>
      </s:c>
      <s:c r="E6" s="5">
        <s:f>(1-E12)</s:f>
        <s:v>0.014401450388880632</s:v>
      </s:c>
      <s:c r="F6" s="5">
        <s:f>(1-F12)</s:f>
        <s:v>0.014401450388880632</s:v>
      </s:c>
      <s:c r="G6" s="5">
        <s:f>(1-G12)</s:f>
        <s:v>0.014401450388880632</s:v>
      </s:c>
    </s:row>
    <s:row r="7">
      <s:c r="A7" s="2" t="inlineStr">
        <s:is>
          <s:t>depreciation_high</s:t>
        </s:is>
      </s:c>
      <s:c r="B7" s="4">
        <s:f>(Assumptions!B7*B31)</s:f>
        <s:v>1357.7189518224334</s:v>
      </s:c>
      <s:c r="C7" s="4">
        <s:f>(Assumptions!B7*C31)</s:f>
        <s:v>1501.140677636651</s:v>
      </s:c>
      <s:c r="D7" s="4">
        <s:f>(Assumptions!B7*D31)</s:f>
        <s:v>1659.7126607319633</s:v>
      </s:c>
      <s:c r="E7" s="4">
        <s:f>(Assumptions!B7*E31)</s:f>
        <s:v>1835.0352883187484</s:v>
      </s:c>
      <s:c r="F7" s="4">
        <s:f>(Assumptions!B7*F31)</s:f>
        <s:v>2028.8780034310325</s:v>
      </s:c>
      <s:c r="G7" s="4">
        <s:f>(Assumptions!B7*G31)</s:f>
        <s:v>2243.197163024408</s:v>
      </s:c>
    </s:row>
    <s:row r="8">
      <s:c r="A8" s="2" t="inlineStr">
        <s:is>
          <s:t>discount_factor</s:t>
        </s:is>
      </s:c>
      <s:c r="B8" s="5">
        <s:f>(1*B32)</s:f>
        <s:v>1.0961694755567986</s:v>
      </s:c>
      <s:c r="C8" s="5">
        <s:f>(1*C32)</s:f>
        <s:v>1.2015875191424668</s:v>
      </s:c>
      <s:c r="D8" s="5">
        <s:f>(1*D32)</s:f>
        <s:v>1.3171435606939925</s:v>
      </s:c>
      <s:c r="E8" s="5">
        <s:f>(1*E32)</s:f>
        <s:v>1.443812566158948</s:v>
      </s:c>
      <s:c r="F8" s="5">
        <s:f>(1*F32)</s:f>
        <s:v>1.5826632634487696</s:v>
      </s:c>
      <s:c r="G8" s="5">
        <s:f>(1*G32)</s:f>
        <s:v>1.734867159477649</s:v>
      </s:c>
    </s:row>
    <s:row r="9">
      <s:c r="A9" s="2" t="inlineStr">
        <s:is>
          <s:t>enterprise_value</s:t>
        </s:is>
      </s:c>
      <s:c r="B9" s="5">
        <s:f>(B5+B22)</s:f>
        <s:v>57257.57190836726</s:v>
      </s:c>
      <s:c r="C9" s="5">
        <s:f>(C5+C22)</s:f>
        <s:v>60198.655197623084</s:v>
      </s:c>
      <s:c r="D9" s="5">
        <s:f>(D5+D22)</s:f>
        <s:v>63165.133202644734</s:v>
      </s:c>
      <s:c r="E9" s="5">
        <s:f>(E5+E22)</s:f>
        <s:v>66157.22519351928</s:v>
      </s:c>
      <s:c r="F9" s="5">
        <s:f>(F5+F22)</s:f>
        <s:v>69175.15233361626</s:v>
      </s:c>
      <s:c r="G9" s="5">
        <s:f>(G5+G22)</s:f>
        <s:v>69175.15233361626</s:v>
      </s:c>
    </s:row>
    <s:row r="10">
      <s:c r="A10" s="2" t="inlineStr">
        <s:is>
          <s:t>equity_after_options</s:t>
        </s:is>
      </s:c>
      <s:c r="B10" s="4">
        <s:f>(B11-Assumptions!B11)</s:f>
        <s:v>54435.57190836726</s:v>
      </s:c>
      <s:c r="C10" s="4">
        <s:f>(C11-Assumptions!C11)</s:f>
        <s:v>57376.655197623084</s:v>
      </s:c>
      <s:c r="D10" s="4">
        <s:f>(D11-Assumptions!D11)</s:f>
        <s:v>60343.133202644734</s:v>
      </s:c>
      <s:c r="E10" s="4">
        <s:f>(E11-Assumptions!E11)</s:f>
        <s:v>63335.225193519276</s:v>
      </s:c>
      <s:c r="F10" s="4">
        <s:f>(F11-Assumptions!F11)</s:f>
        <s:v>66353.15233361626</s:v>
      </s:c>
      <s:c r="G10" s="4">
        <s:f>(G11-Assumptions!G11)</s:f>
        <s:v>66353.15233361626</s:v>
      </s:c>
    </s:row>
    <s:row r="11">
      <s:c r="A11" s="2" t="inlineStr">
        <s:is>
          <s:t>equity_before_options</s:t>
        </s:is>
      </s:c>
      <s:c r="B11" s="4">
        <s:f>((B9+Assumptions!B4)-Assumptions!B5)</s:f>
        <s:v>55935.57190836726</s:v>
      </s:c>
      <s:c r="C11" s="4">
        <s:f>((C9+Assumptions!C4)-Assumptions!C5)</s:f>
        <s:v>58876.655197623084</s:v>
      </s:c>
      <s:c r="D11" s="4">
        <s:f>((D9+Assumptions!D4)-Assumptions!D5)</s:f>
        <s:v>61843.133202644734</s:v>
      </s:c>
      <s:c r="E11" s="4">
        <s:f>((E9+Assumptions!E4)-Assumptions!E5)</s:f>
        <s:v>64835.225193519276</s:v>
      </s:c>
      <s:c r="F11" s="4">
        <s:f>((F9+Assumptions!F4)-Assumptions!F5)</s:f>
        <s:v>67853.15233361626</s:v>
      </s:c>
      <s:c r="G11" s="4">
        <s:f>((G9+Assumptions!G4)-Assumptions!G5)</s:f>
        <s:v>67853.15233361626</s:v>
      </s:c>
    </s:row>
    <s:row r="12">
      <s:c r="A12" s="2" t="inlineStr">
        <s:is>
          <s:t>equity_weight</s:t>
        </s:is>
      </s:c>
      <s:c r="B12" s="4">
        <s:f>((Assumptions!B17*Assumptions!B18)/(Assumptions!B5+(Assumptions!B17*Assumptions!B18)))</s:f>
        <s:v>0.9855985496111194</s:v>
      </s:c>
      <s:c r="C12" s="4">
        <s:f>((Assumptions!C17*Assumptions!C18)/(Assumptions!C5+(Assumptions!C17*Assumptions!C18)))</s:f>
        <s:v>0.9855985496111194</s:v>
      </s:c>
      <s:c r="D12" s="4">
        <s:f>((Assumptions!D17*Assumptions!D18)/(Assumptions!D5+(Assumptions!D17*Assumptions!D18)))</s:f>
        <s:v>0.9855985496111194</s:v>
      </s:c>
      <s:c r="E12" s="4">
        <s:f>((Assumptions!E17*Assumptions!E18)/(Assumptions!E5+(Assumptions!E17*Assumptions!E18)))</s:f>
        <s:v>0.9855985496111194</s:v>
      </s:c>
      <s:c r="F12" s="4">
        <s:f>((Assumptions!F17*Assumptions!F18)/(Assumptions!F5+(Assumptions!F17*Assumptions!F18)))</s:f>
        <s:v>0.9855985496111194</s:v>
      </s:c>
      <s:c r="G12" s="4">
        <s:f>((Assumptions!G17*Assumptions!G18)/(Assumptions!G5+(Assumptions!G17*Assumptions!G18)))</s:f>
        <s:v>0.9855985496111194</s:v>
      </s:c>
    </s:row>
    <s:row r="13">
      <s:c r="A13" s="2" t="inlineStr">
        <s:is>
          <s:t>fcff</s:t>
        </s:is>
      </s:c>
      <s:c r="B13" s="5">
        <s:f>((B19-B17)-B28)</s:f>
        <s:v>2681.9913954717545</s:v>
      </s:c>
      <s:c r="C13" s="5">
        <s:f>((C19-C17)-C28)</s:f>
        <s:v>2965.30174776604</s:v>
      </s:c>
      <s:c r="D13" s="5">
        <s:f>((D19-D17)-D28)</s:f>
        <s:v>3278.5393980571143</s:v>
      </s:c>
      <s:c r="E13" s="5">
        <s:f>((E19-E17)-E28)</s:f>
        <s:v>3624.8656962855516</s:v>
      </s:c>
      <s:c r="F13" s="5">
        <s:f>((F19-F17)-F28)</s:f>
        <s:v>4007.775939460842</s:v>
      </s:c>
      <s:c r="G13" s="5">
        <s:f>((G19-G17)-G28)</s:f>
        <s:v>3247.3771235827785</s:v>
      </s:c>
    </s:row>
    <s:row r="14">
      <s:c r="A14" s="2" t="inlineStr">
        <s:is>
          <s:t>growth</s:t>
        </s:is>
      </s:c>
      <s:c r="B14" s="4">
        <s:f>((Assumptions!B9*B15)+((1-Assumptions!B9)*Assumptions!B19))</s:f>
        <s:v>0.10563432558830081</s:v>
      </s:c>
      <s:c r="C14" s="4">
        <s:f>((Assumptions!C9*C15)+((1-Assumptions!C9)*Assumptions!C19))</s:f>
        <s:v>0.10563432558830081</s:v>
      </s:c>
      <s:c r="D14" s="4">
        <s:f>((Assumptions!D9*D15)+((1-Assumptions!D9)*Assumptions!D19))</s:f>
        <s:v>0.10563432558830081</s:v>
      </s:c>
      <s:c r="E14" s="4">
        <s:f>((Assumptions!E9*E15)+((1-Assumptions!E9)*Assumptions!E19))</s:f>
        <s:v>0.10563432558830081</s:v>
      </s:c>
      <s:c r="F14" s="4">
        <s:f>((Assumptions!F9*F15)+((1-Assumptions!F9)*Assumptions!F19))</s:f>
        <s:v>0.10563432558830081</s:v>
      </s:c>
      <s:c r="G14" s="4">
        <s:f>((Assumptions!G9*G15)+((1-Assumptions!G9)*Assumptions!G19))</s:f>
        <s:v>0.06</s:v>
      </s:c>
    </s:row>
    <s:row r="15">
      <s:c r="A15" s="2" t="inlineStr">
        <s:is>
          <s:t>high_growth</s:t>
        </s:is>
      </s:c>
      <s:c r="B15" s="5">
        <s:f>(B24*B23)</s:f>
        <s:v>0.10563432558830081</s:v>
      </s:c>
      <s:c r="C15" s="5">
        <s:f>(C24*C23)</s:f>
        <s:v>0.10563432558830081</s:v>
      </s:c>
      <s:c r="D15" s="5">
        <s:f>(D24*D23)</s:f>
        <s:v>0.10563432558830081</s:v>
      </s:c>
      <s:c r="E15" s="5">
        <s:f>(E24*E23)</s:f>
        <s:v>0.10563432558830081</s:v>
      </s:c>
      <s:c r="F15" s="5">
        <s:f>(F24*F23)</s:f>
        <s:v>0.10563432558830081</s:v>
      </s:c>
      <s:c r="G15" s="5">
        <s:f>(G24*G23)</s:f>
        <s:v>0.10563432558830081</s:v>
      </s:c>
    </s:row>
    <s:row r="16">
      <s:c r="A16" s="2" t="inlineStr">
        <s:is>
          <s:t>horizon</s:t>
        </s:is>
      </s:c>
      <s:c r="B16" s="4">
        <s:f>Assumptions!B10</s:f>
        <s:v>5.0</s:v>
      </s:c>
      <s:c r="C16" s="4">
        <s:f>Assumptions!C10</s:f>
        <s:v>5.0</s:v>
      </s:c>
      <s:c r="D16" s="4">
        <s:f>Assumptions!D10</s:f>
        <s:v>5.0</s:v>
      </s:c>
      <s:c r="E16" s="4">
        <s:f>Assumptions!E10</s:f>
        <s:v>5.0</s:v>
      </s:c>
      <s:c r="F16" s="4">
        <s:f>Assumptions!F10</s:f>
        <s:v>5.0</s:v>
      </s:c>
      <s:c r="G16" s="4">
        <s:f>Assumptions!G10</s:f>
        <s:v>5.0</s:v>
      </s:c>
    </s:row>
    <s:row r="17">
      <s:c r="A17" s="2" t="inlineStr">
        <s:is>
          <s:t>net_capex</s:t>
        </s:is>
      </s:c>
      <s:c r="B17" s="4">
        <s:f>((Assumptions!B9*(B3-B7))+((1-Assumptions!B9)*(((Assumptions!B19/Assumptions!B20)*B19)-B28)))</s:f>
        <s:v>1021.6061168435897</s:v>
      </s:c>
      <s:c r="C17" s="4">
        <s:f>((Assumptions!C9*(C3-C7))+((1-Assumptions!C9)*(((Assumptions!C19/Assumptions!C20)*C19)-C28)))</s:f>
        <s:v>1129.5227900132452</s:v>
      </s:c>
      <s:c r="D17" s="4">
        <s:f>((Assumptions!D9*(D3-D7))+((1-Assumptions!D9)*(((Assumptions!D19/Assumptions!D20)*D19)-D28)))</s:f>
        <s:v>1248.8391681729104</s:v>
      </s:c>
      <s:c r="E17" s="4">
        <s:f>((Assumptions!E9*(E3-E7))+((1-Assumptions!E9)*(((Assumptions!E19/Assumptions!E20)*E19)-E28)))</s:f>
        <s:v>1380.7594514711104</s:v>
      </s:c>
      <s:c r="F17" s="4">
        <s:f>((Assumptions!F9*(F3-F7))+((1-Assumptions!F9)*(((Assumptions!F19/Assumptions!F20)*F19)-F28)))</s:f>
        <s:v>1526.6150449269335</s:v>
      </s:c>
      <s:c r="G17" s="4">
        <s:f>((Assumptions!G9*(G3-G7))+((1-Assumptions!G9)*(((Assumptions!G19/Assumptions!G20)*G19)-G28)))</s:f>
        <s:v>2875.140792822997</s:v>
      </s:c>
    </s:row>
    <s:row r="18">
      <s:c r="A18" s="2" t="inlineStr">
        <s:is>
          <s:t>net_cash_after_options</s:t>
        </s:is>
      </s:c>
      <s:c r="B18" s="4">
        <s:f>((Assumptions!B4-Assumptions!B5)-Assumptions!B11)</s:f>
        <s:v>-2822.0</s:v>
      </s:c>
      <s:c r="C18" s="4">
        <s:f>((Assumptions!C4-Assumptions!C5)-Assumptions!C11)</s:f>
        <s:v>-2822.0</s:v>
      </s:c>
      <s:c r="D18" s="4">
        <s:f>((Assumptions!D4-Assumptions!D5)-Assumptions!D11)</s:f>
        <s:v>-2822.0</s:v>
      </s:c>
      <s:c r="E18" s="4">
        <s:f>((Assumptions!E4-Assumptions!E5)-Assumptions!E11)</s:f>
        <s:v>-2822.0</s:v>
      </s:c>
      <s:c r="F18" s="4">
        <s:f>((Assumptions!F4-Assumptions!F5)-Assumptions!F11)</s:f>
        <s:v>-2822.0</s:v>
      </s:c>
      <s:c r="G18" s="4">
        <s:f>((Assumptions!G4-Assumptions!G5)-Assumptions!G11)</s:f>
        <s:v>-2822.0</s:v>
      </s:c>
    </s:row>
    <s:row r="19">
      <s:c r="A19" s="2" t="inlineStr">
        <s:is>
          <s:t>nopat</s:t>
        </s:is>
      </s:c>
      <s:c r="B19" s="4">
        <s:f>((Assumptions!B8*(1-Assumptions!B21))*B33)</s:f>
        <s:v>4100.254404899414</s:v>
      </s:c>
      <s:c r="C19" s="4">
        <s:f>((Assumptions!B8*(1-Assumptions!B21))*C33)</s:f>
        <s:v>4533.382013701424</s:v>
      </s:c>
      <s:c r="D19" s="4">
        <s:f>((Assumptions!B8*(1-Assumptions!B21))*D33)</s:f>
        <s:v>5012.262765352906</s:v>
      </s:c>
      <s:c r="E19" s="4">
        <s:f>((Assumptions!B8*(1-Assumptions!B21))*E33)</s:f>
        <s:v>5541.729762242312</s:v>
      </s:c>
      <s:c r="F19" s="4">
        <s:f>((Assumptions!B8*(1-Assumptions!B21))*F33)</s:f>
        <s:v>6127.126648269394</s:v>
      </s:c>
      <s:c r="G19" s="4">
        <s:f>((Assumptions!B8*(1-Assumptions!B21))*G33)</s:f>
        <s:v>6494.754247165557</s:v>
      </s:c>
    </s:row>
    <s:row r="20">
      <s:c r="A20" s="2" t="inlineStr">
        <s:is>
          <s:t>per_share</s:t>
        </s:is>
      </s:c>
      <s:c r="B20" s="4">
        <s:f>(B10/Assumptions!B18)</s:f>
        <s:v>54.78785783424143</s:v>
      </s:c>
      <s:c r="C20" s="4">
        <s:f>(C10/Assumptions!C18)</s:f>
        <s:v>57.74797467478193</s:v>
      </s:c>
      <s:c r="D20" s="4">
        <s:f>(D10/Assumptions!D18)</s:f>
        <s:v>60.73365057584743</s:v>
      </s:c>
      <s:c r="E20" s="4">
        <s:f>(E10/Assumptions!E18)</s:f>
        <s:v>63.745106226556025</s:v>
      </s:c>
      <s:c r="F20" s="4">
        <s:f>(F10/Assumptions!F18)</s:f>
        <s:v>66.7825642215609</s:v>
      </s:c>
      <s:c r="G20" s="4">
        <s:f>(G10/Assumptions!G18)</s:f>
        <s:v>66.7825642215609</s:v>
      </s:c>
    </s:row>
    <s:row r="21">
      <s:c r="A21" s="2" t="inlineStr">
        <s:is>
          <s:t>pv_fcff</s:t>
        </s:is>
      </s:c>
      <s:c r="B21" s="5">
        <s:f>(B13/B8)</s:f>
        <s:v>2446.6941064103603</s:v>
      </s:c>
      <s:c r="C21" s="5">
        <s:f>(C13/C8)</s:f>
        <s:v>2467.8200301899587</s:v>
      </s:c>
      <s:c r="D21" s="5">
        <s:f>(D13/D8)</s:f>
        <s:v>2489.128365270736</s:v>
      </s:c>
      <s:c r="E21" s="5">
        <s:f>(E13/E8)</s:f>
        <s:v>2510.6206866788643</s:v>
      </s:c>
      <s:c r="F21" s="5">
        <s:f>(F13/F8)</s:f>
        <s:v>2532.298583040038</s:v>
      </s:c>
      <s:c r="G21" s="5">
        <s:f>(G13/G8)</s:f>
        <s:v>1871.8304198925127</s:v>
      </s:c>
    </s:row>
    <s:row r="22">
      <s:c r="A22" s="2" t="inlineStr">
        <s:is>
          <s:t>pv_terminal</s:t>
        </s:is>
      </s:c>
      <s:c r="B22" s="5">
        <s:f>(B26/B8)</s:f>
        <s:v>54810.8778019569</s:v>
      </s:c>
      <s:c r="C22" s="5">
        <s:f>(C26/C8)</s:f>
        <s:v>55284.14106102277</s:v>
      </s:c>
      <s:c r="D22" s="5">
        <s:f>(D26/D8)</s:f>
        <s:v>55761.49070077368</s:v>
      </s:c>
      <s:c r="E22" s="5">
        <s:f>(E26/E8)</s:f>
        <s:v>56242.96200496936</s:v>
      </s:c>
      <s:c r="F22" s="5">
        <s:f>(F26/F8)</s:f>
        <s:v>56728.59056202631</s:v>
      </s:c>
      <s:c r="G22" s="5">
        <s:f>(G26/G8)</s:f>
        <s:v>54856.7601421338</s:v>
      </s:c>
    </s:row>
    <s:row r="23">
      <s:c r="A23" s="2" t="inlineStr">
        <s:is>
          <s:t>reinvestment_rate</s:t>
        </s:is>
      </s:c>
      <s:c r="B23" s="4">
        <s:f>(((Assumptions!B3-Assumptions!B7)+Assumptions!B23)/(Assumptions!B8*(1-Assumptions!B21)))</s:f>
        <s:v>0.3837122017190414</s:v>
      </s:c>
      <s:c r="C23" s="4">
        <s:f>(((Assumptions!C3-Assumptions!C7)+Assumptions!C23)/(Assumptions!C8*(1-Assumptions!C21)))</s:f>
        <s:v>0.3837122017190414</s:v>
      </s:c>
      <s:c r="D23" s="4">
        <s:f>(((Assumptions!D3-Assumptions!D7)+Assumptions!D23)/(Assumptions!D8*(1-Assumptions!D21)))</s:f>
        <s:v>0.3837122017190414</s:v>
      </s:c>
      <s:c r="E23" s="4">
        <s:f>(((Assumptions!E3-Assumptions!E7)+Assumptions!E23)/(Assumptions!E8*(1-Assumptions!E21)))</s:f>
        <s:v>0.3837122017190414</s:v>
      </s:c>
      <s:c r="F23" s="4">
        <s:f>(((Assumptions!F3-Assumptions!F7)+Assumptions!F23)/(Assumptions!F8*(1-Assumptions!F21)))</s:f>
        <s:v>0.3837122017190414</s:v>
      </s:c>
      <s:c r="G23" s="4">
        <s:f>(((Assumptions!G3-Assumptions!G7)+Assumptions!G23)/(Assumptions!G8*(1-Assumptions!G21)))</s:f>
        <s:v>0.3837122017190414</s:v>
      </s:c>
    </s:row>
    <s:row r="24">
      <s:c r="A24" s="2" t="inlineStr">
        <s:is>
          <s:t>return_on_capital</s:t>
        </s:is>
      </s:c>
      <s:c r="B24" s="4">
        <s:f>((Assumptions!B8*(1-Assumptions!B21))/(Assumptions!B12+Assumptions!B13))</s:f>
        <s:v>0.27529571672481634</s:v>
      </s:c>
      <s:c r="C24" s="4">
        <s:f>((Assumptions!C8*(1-Assumptions!C21))/(Assumptions!C12+Assumptions!C13))</s:f>
        <s:v>0.27529571672481634</s:v>
      </s:c>
      <s:c r="D24" s="4">
        <s:f>((Assumptions!D8*(1-Assumptions!D21))/(Assumptions!D12+Assumptions!D13))</s:f>
        <s:v>0.27529571672481634</s:v>
      </s:c>
      <s:c r="E24" s="4">
        <s:f>((Assumptions!E8*(1-Assumptions!E21))/(Assumptions!E12+Assumptions!E13))</s:f>
        <s:v>0.27529571672481634</s:v>
      </s:c>
      <s:c r="F24" s="4">
        <s:f>((Assumptions!F8*(1-Assumptions!F21))/(Assumptions!F12+Assumptions!F13))</s:f>
        <s:v>0.27529571672481634</s:v>
      </s:c>
      <s:c r="G24" s="4">
        <s:f>((Assumptions!G8*(1-Assumptions!G21))/(Assumptions!G12+Assumptions!G13))</s:f>
        <s:v>0.27529571672481634</s:v>
      </s:c>
    </s:row>
    <s:row r="25">
      <s:c r="A25" s="2" t="inlineStr">
        <s:is>
          <s:t>revenue</s:t>
        </s:is>
      </s:c>
      <s:c r="B25" s="4">
        <s:f>(Assumptions!B14*B34)</s:f>
        <s:v>18465.198871650213</s:v>
      </s:c>
      <s:c r="C25" s="4">
        <s:f>(Assumptions!B14*C34)</s:f>
        <s:v>20415.757701310835</s:v>
      </s:c>
      <s:c r="D25" s="4">
        <s:f>(Assumptions!B14*D34)</s:f>
        <s:v>22572.362497462964</s:v>
      </s:c>
      <s:c r="E25" s="4">
        <s:f>(Assumptions!B14*E34)</s:f>
        <s:v>24956.778786817114</s:v>
      </s:c>
      <s:c r="F25" s="4">
        <s:f>(Assumptions!B14*F34)</s:f>
        <s:v>27593.071282818953</s:v>
      </s:c>
      <s:c r="G25" s="4">
        <s:f>(Assumptions!B14*G34)</s:f>
        <s:v>29248.65555978809</s:v>
      </s:c>
    </s:row>
    <s:row r="26">
      <s:c r="A26" s="2" t="inlineStr">
        <s:is>
          <s:t>terminal_value</s:t>
        </s:is>
      </s:c>
      <s:c r="B26" s="4">
        <s:f>(((B19*(1+Assumptions!B19))*(1-(Assumptions!B19/Assumptions!B20)))/(B27-Assumptions!B19))</s:f>
        <s:v>60082.01117497887</s:v>
      </s:c>
      <s:c r="C26" s="4">
        <s:f>(((C19*(1+Assumptions!C19))*(1-(Assumptions!C19/Assumptions!C20)))/(C27-Assumptions!C19))</s:f>
        <s:v>66428.73390543653</s:v>
      </s:c>
      <s:c r="D26" s="4">
        <s:f>(((D19*(1+Assumptions!D19))*(1-(Assumptions!D19/Assumptions!D20)))/(D27-Assumptions!D19))</s:f>
        <s:v>73445.888411222</s:v>
      </s:c>
      <s:c r="E26" s="4">
        <s:f>(((E19*(1+Assumptions!E19))*(1-(Assumptions!E19/Assumptions!E20)))/(E27-Assumptions!E19))</s:f>
        <s:v>81204.29530077503</s:v>
      </s:c>
      <s:c r="F26" s="4">
        <s:f>(((F19*(1+Assumptions!F19))*(1-(Assumptions!F19/Assumptions!F20)))/(F27-Assumptions!F19))</s:f>
        <s:v>89782.25626974563</s:v>
      </s:c>
      <s:c r="G26" s="4">
        <s:f>(((G19*(1+Assumptions!G19))*(1-(Assumptions!G19/Assumptions!G20)))/(G27-Assumptions!G19))</s:f>
        <s:v>95169.19164593038</s:v>
      </s:c>
    </s:row>
    <s:row r="27">
      <s:c r="A27" s="2" t="inlineStr">
        <s:is>
          <s:t>wacc</s:t>
        </s:is>
      </s:c>
      <s:c r="B27" s="5">
        <s:f>((B4*B12)+(B2*B6))</s:f>
        <s:v>0.09616947555679844</s:v>
      </s:c>
      <s:c r="C27" s="5">
        <s:f>((C4*C12)+(C2*C6))</s:f>
        <s:v>0.09616947555679844</s:v>
      </s:c>
      <s:c r="D27" s="5">
        <s:f>((D4*D12)+(D2*D6))</s:f>
        <s:v>0.09616947555679844</s:v>
      </s:c>
      <s:c r="E27" s="5">
        <s:f>((E4*E12)+(E2*E6))</s:f>
        <s:v>0.09616947555679844</s:v>
      </s:c>
      <s:c r="F27" s="5">
        <s:f>((F4*F12)+(F2*F6))</s:f>
        <s:v>0.09616947555679844</s:v>
      </s:c>
      <s:c r="G27" s="5">
        <s:f>((G4*G12)+(G2*G6))</s:f>
        <s:v>0.09616947555679844</s:v>
      </s:c>
    </s:row>
    <s:row r="28">
      <s:c r="A28" s="2" t="inlineStr">
        <s:is>
          <s:t>working_capital_change</s:t>
        </s:is>
      </s:c>
      <s:c r="B28" s="4">
        <s:f>((B25-Assumptions!B14)*B29)</s:f>
        <s:v>396.6568925840698</s:v>
      </s:c>
      <s:c r="C28" s="5">
        <s:f>((C25-B25)*C29)</s:f>
        <s:v>438.5574759221385</s:v>
      </s:c>
      <s:c r="D28" s="5">
        <s:f>((D25-C25)*D29)</s:f>
        <s:v>484.8841991228815</s:v>
      </s:c>
      <s:c r="E28" s="5">
        <s:f>((E25-D25)*E29)</s:f>
        <s:v>536.1046144856497</s:v>
      </s:c>
      <s:c r="F28" s="5">
        <s:f>((F25-E25)*F29)</s:f>
        <s:v>592.7356638816182</s:v>
      </s:c>
      <s:c r="G28" s="5">
        <s:f>((G25-F25)*G29)</s:f>
        <s:v>372.2363307597814</s:v>
      </s:c>
    </s:row>
    <s:row r="29">
      <s:c r="A29" s="2" t="inlineStr">
        <s:is>
          <s:t>working_capital_ratio</s:t>
        </s:is>
      </s:c>
      <s:c r="B29" s="4">
        <s:f>MAX((Assumptions!B22/Assumptions!B14),0)</s:f>
        <s:v>0.22483683611759775</s:v>
      </s:c>
      <s:c r="C29" s="4">
        <s:f>MAX((Assumptions!C22/Assumptions!C14),0)</s:f>
        <s:v>0.22483683611759775</s:v>
      </s:c>
      <s:c r="D29" s="4">
        <s:f>MAX((Assumptions!D22/Assumptions!D14),0)</s:f>
        <s:v>0.22483683611759775</s:v>
      </s:c>
      <s:c r="E29" s="4">
        <s:f>MAX((Assumptions!E22/Assumptions!E14),0)</s:f>
        <s:v>0.22483683611759775</s:v>
      </s:c>
      <s:c r="F29" s="4">
        <s:f>MAX((Assumptions!F22/Assumptions!F14),0)</s:f>
        <s:v>0.22483683611759775</s:v>
      </s:c>
      <s:c r="G29" s="4">
        <s:f>MAX((Assumptions!G22/Assumptions!G14),0)</s:f>
        <s:v>0.22483683611759775</s:v>
      </s:c>
    </s:row>
    <s:row r="30" hidden="1">
      <s:c r="A30" s="2" t="inlineStr">
        <s:is>
          <s:t>_grow_factor_1</s:t>
        </s:is>
      </s:c>
      <s:c r="B30" s="5">
        <s:f>(1*(1+B15))</s:f>
        <s:v>1.1056343255883008</s:v>
      </s:c>
      <s:c r="C30" s="5">
        <s:f>(B30*(1+C15))</s:f>
        <s:v>1.2224272619190968</s:v>
      </s:c>
      <s:c r="D30" s="5">
        <s:f>(C30*(1+D15))</s:f>
        <s:v>1.3515575413126737</s:v>
      </s:c>
      <s:c r="E30" s="5">
        <s:f>(D30*(1+E15))</s:f>
        <s:v>1.49432841068302</s:v>
      </s:c>
      <s:c r="F30" s="5">
        <s:f>(E30*(1+F15))</s:f>
        <s:v>1.6521807845529581</s:v>
      </s:c>
      <s:c r="G30" s="5">
        <s:f>(F30*(1+G15))</s:f>
        <s:v>1.8267077874791595</s:v>
      </s:c>
    </s:row>
    <s:row r="31" hidden="1">
      <s:c r="A31" s="2" t="inlineStr">
        <s:is>
          <s:t>_grow_factor_2</s:t>
        </s:is>
      </s:c>
      <s:c r="B31" s="5">
        <s:f>(1*(1+B15))</s:f>
        <s:v>1.1056343255883008</s:v>
      </s:c>
      <s:c r="C31" s="5">
        <s:f>(B31*(1+C15))</s:f>
        <s:v>1.2224272619190968</s:v>
      </s:c>
      <s:c r="D31" s="5">
        <s:f>(C31*(1+D15))</s:f>
        <s:v>1.3515575413126737</s:v>
      </s:c>
      <s:c r="E31" s="5">
        <s:f>(D31*(1+E15))</s:f>
        <s:v>1.49432841068302</s:v>
      </s:c>
      <s:c r="F31" s="5">
        <s:f>(E31*(1+F15))</s:f>
        <s:v>1.6521807845529581</s:v>
      </s:c>
      <s:c r="G31" s="5">
        <s:f>(F31*(1+G15))</s:f>
        <s:v>1.8267077874791595</s:v>
      </s:c>
    </s:row>
    <s:row r="32" hidden="1">
      <s:c r="A32" s="2" t="inlineStr">
        <s:is>
          <s:t>_grow_factor_3</s:t>
        </s:is>
      </s:c>
      <s:c r="B32" s="5">
        <s:f>(1*(1+B27))</s:f>
        <s:v>1.0961694755567986</s:v>
      </s:c>
      <s:c r="C32" s="5">
        <s:f>(B32*(1+C27))</s:f>
        <s:v>1.2015875191424668</s:v>
      </s:c>
      <s:c r="D32" s="5">
        <s:f>(C32*(1+D27))</s:f>
        <s:v>1.3171435606939925</s:v>
      </s:c>
      <s:c r="E32" s="5">
        <s:f>(D32*(1+E27))</s:f>
        <s:v>1.443812566158948</s:v>
      </s:c>
      <s:c r="F32" s="5">
        <s:f>(E32*(1+F27))</s:f>
        <s:v>1.5826632634487696</s:v>
      </s:c>
      <s:c r="G32" s="5">
        <s:f>(F32*(1+G27))</s:f>
        <s:v>1.734867159477649</s:v>
      </s:c>
    </s:row>
    <s:row r="33" hidden="1">
      <s:c r="A33" s="2" t="inlineStr">
        <s:is>
          <s:t>_grow_factor_4</s:t>
        </s:is>
      </s:c>
      <s:c r="B33" s="5">
        <s:f>(1*(1+B14))</s:f>
        <s:v>1.1056343255883008</s:v>
      </s:c>
      <s:c r="C33" s="5">
        <s:f>(B33*(1+C14))</s:f>
        <s:v>1.2224272619190968</s:v>
      </s:c>
      <s:c r="D33" s="5">
        <s:f>(C33*(1+D14))</s:f>
        <s:v>1.3515575413126737</s:v>
      </s:c>
      <s:c r="E33" s="5">
        <s:f>(D33*(1+E14))</s:f>
        <s:v>1.49432841068302</s:v>
      </s:c>
      <s:c r="F33" s="5">
        <s:f>(E33*(1+F14))</s:f>
        <s:v>1.6521807845529581</s:v>
      </s:c>
      <s:c r="G33" s="5">
        <s:f>(F33*(1+G14))</s:f>
        <s:v>1.7513116316261357</s:v>
      </s:c>
    </s:row>
    <s:row r="34" hidden="1">
      <s:c r="A34" s="2" t="inlineStr">
        <s:is>
          <s:t>_grow_factor_5</s:t>
        </s:is>
      </s:c>
      <s:c r="B34" s="5">
        <s:f>(1*(1+B14))</s:f>
        <s:v>1.1056343255883008</s:v>
      </s:c>
      <s:c r="C34" s="5">
        <s:f>(B34*(1+C14))</s:f>
        <s:v>1.2224272619190968</s:v>
      </s:c>
      <s:c r="D34" s="5">
        <s:f>(C34*(1+D14))</s:f>
        <s:v>1.3515575413126737</s:v>
      </s:c>
      <s:c r="E34" s="5">
        <s:f>(D34*(1+E14))</s:f>
        <s:v>1.49432841068302</s:v>
      </s:c>
      <s:c r="F34" s="5">
        <s:f>(E34*(1+F14))</s:f>
        <s:v>1.6521807845529581</s:v>
      </s:c>
      <s:c r="G34" s="5">
        <s:f>(F34*(1+G14))</s:f>
        <s:v>1.7513116316261357</s:v>
      </s:c>
    </s:row>
  </s:sheetData>
  <s:autoFilter ref="A1:A1"/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G14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</s:cols>
  <s:sheetData>
    <s:row r="1">
      <s:c r="A1" s="1" t="inlineStr">
        <s:is>
          <s:t>Line</s:t>
        </s:is>
      </s:c>
      <s:c r="B1" s="1" t="n">
        <s:v>1</s:v>
      </s:c>
      <s:c r="C1" s="1" t="n">
        <s:v>2</s:v>
      </s:c>
      <s:c r="D1" s="1" t="n">
        <s:v>3</s:v>
      </s:c>
      <s:c r="E1" s="1" t="n">
        <s:v>4</s:v>
      </s:c>
      <s:c r="F1" s="1" t="n">
        <s:v>5</s:v>
      </s:c>
      <s:c r="G1" s="1" t="n">
        <s:v>6</s:v>
      </s:c>
    </s:row>
    <s:row r="2">
      <s:c r="A2" s="2" t="inlineStr">
        <s:is>
          <s:t>FCF</s:t>
        </s:is>
      </s:c>
      <s:c r="B2" s="4">
        <s:f>Model!B13</s:f>
        <s:v>2681.9913954717545</s:v>
      </s:c>
      <s:c r="C2" s="4">
        <s:f>Model!C13</s:f>
        <s:v>2965.30174776604</s:v>
      </s:c>
      <s:c r="D2" s="4">
        <s:f>Model!D13</s:f>
        <s:v>3278.5393980571143</s:v>
      </s:c>
      <s:c r="E2" s="4">
        <s:f>Model!E13</s:f>
        <s:v>3624.8656962855516</s:v>
      </s:c>
      <s:c r="F2" s="4">
        <s:f>Model!F13</s:f>
        <s:v>4007.775939460842</s:v>
      </s:c>
      <s:c r="G2" s="4">
        <s:f>Model!G13</s:f>
        <s:v>3247.3771235827785</s:v>
      </s:c>
    </s:row>
    <s:row r="3">
      <s:c r="A3" s="2" t="inlineStr">
        <s:is>
          <s:t>WACC</s:t>
        </s:is>
      </s:c>
      <s:c r="B3" s="4">
        <s:f>Assumptions!B24</s:f>
        <s:v>0.09616947555679844</s:v>
      </s:c>
      <s:c r="C3" s="4">
        <s:f>Assumptions!C24</s:f>
        <s:v>0.09616947555679844</s:v>
      </s:c>
      <s:c r="D3" s="4">
        <s:f>Assumptions!D24</s:f>
        <s:v>0.09616947555679844</s:v>
      </s:c>
      <s:c r="E3" s="4">
        <s:f>Assumptions!E24</s:f>
        <s:v>0.09616947555679844</s:v>
      </s:c>
      <s:c r="F3" s="4">
        <s:f>Assumptions!F24</s:f>
        <s:v>0.09616947555679844</s:v>
      </s:c>
      <s:c r="G3" s="4">
        <s:f>Assumptions!G24</s:f>
        <s:v>0.09616947555679844</s:v>
      </s:c>
    </s:row>
    <s:row r="4">
      <s:c r="A4" s="2" t="inlineStr">
        <s:is>
          <s:t>Discount factor</s:t>
        </s:is>
      </s:c>
      <s:c r="B4" s="5">
        <s:f>1*(1+B3)</s:f>
        <s:v>1.0961694755567986</s:v>
      </s:c>
      <s:c r="C4" s="5">
        <s:f>B4*(1+C3)</s:f>
        <s:v>1.2015875191424668</s:v>
      </s:c>
      <s:c r="D4" s="5">
        <s:f>C4*(1+D3)</s:f>
        <s:v>1.3171435606939925</s:v>
      </s:c>
      <s:c r="E4" s="5">
        <s:f>D4*(1+E3)</s:f>
        <s:v>1.443812566158948</s:v>
      </s:c>
      <s:c r="F4" s="5">
        <s:f>E4*(1+F3)</s:f>
        <s:v>1.5826632634487696</s:v>
      </s:c>
      <s:c r="G4" s="5">
        <s:f>F4*(1+G3)</s:f>
        <s:v>1.734867159477649</s:v>
      </s:c>
    </s:row>
    <s:row r="5">
      <s:c r="A5" s="2" t="inlineStr">
        <s:is>
          <s:t>Present value</s:t>
        </s:is>
      </s:c>
      <s:c r="B5" s="5">
        <s:f>B2/B4</s:f>
        <s:v>2446.6941064103603</s:v>
      </s:c>
      <s:c r="C5" s="5">
        <s:f>C2/C4</s:f>
        <s:v>2467.8200301899587</s:v>
      </s:c>
      <s:c r="D5" s="5">
        <s:f>D2/D4</s:f>
        <s:v>2489.128365270736</s:v>
      </s:c>
      <s:c r="E5" s="5">
        <s:f>E2/E4</s:f>
        <s:v>2510.6206866788643</s:v>
      </s:c>
      <s:c r="F5" s="5">
        <s:f>F2/F4</s:f>
        <s:v>2532.298583040038</s:v>
      </s:c>
      <s:c r="G5" s="5">
        <s:f>G2/G4</s:f>
        <s:v>1871.8304198925127</s:v>
      </s:c>
    </s:row>
    <s:row r="6">
      <s:c r="A6" s="2" t="n"/>
      <s:c r="B6" s="2" t="n"/>
      <s:c r="C6" s="2" t="n"/>
      <s:c r="D6" s="2" t="n"/>
      <s:c r="E6" s="2" t="n"/>
      <s:c r="F6" s="2" t="n"/>
      <s:c r="G6" s="2" t="n"/>
    </s:row>
    <s:row r="7">
      <s:c r="A7" s="2" t="inlineStr">
        <s:is>
          <s:t>Terminal value</s:t>
        </s:is>
      </s:c>
      <s:c r="B7" s="4">
        <s:f>G2*(1+Assumptions!G25)/(G3-Assumptions!G25)</s:f>
        <s:v>95169.19164593038</s:v>
      </s:c>
      <s:c r="C7" s="2" t="n"/>
      <s:c r="D7" s="2" t="n"/>
      <s:c r="E7" s="2" t="n"/>
      <s:c r="F7" s="2" t="n"/>
      <s:c r="G7" s="2" t="n"/>
    </s:row>
    <s:row r="8">
      <s:c r="A8" s="2" t="inlineStr">
        <s:is>
          <s:t>Terminal present value</s:t>
        </s:is>
      </s:c>
      <s:c r="B8" s="5">
        <s:f>B7/G4</s:f>
        <s:v>54856.7601421338</s:v>
      </s:c>
      <s:c r="C8" s="2" t="n"/>
      <s:c r="D8" s="2" t="n"/>
      <s:c r="E8" s="2" t="n"/>
      <s:c r="F8" s="2" t="n"/>
      <s:c r="G8" s="2" t="n"/>
    </s:row>
    <s:row r="9">
      <s:c r="A9" s="2" t="inlineStr">
        <s:is>
          <s:t>Enterprise value</s:t>
        </s:is>
      </s:c>
      <s:c r="B9" s="5">
        <s:f>SUM(B5:G5)+B8</s:f>
        <s:v>69175.15233361626</s:v>
      </s:c>
      <s:c r="C9" s="2" t="n"/>
      <s:c r="D9" s="2" t="n"/>
      <s:c r="E9" s="2" t="n"/>
      <s:c r="F9" s="2" t="n"/>
      <s:c r="G9" s="2" t="n"/>
    </s:row>
    <s:row r="10">
      <s:c r="A10" s="2" t="inlineStr">
        <s:is>
          <s:t>Net cash</s:t>
        </s:is>
      </s:c>
      <s:c r="B10" s="4">
        <s:f>Assumptions!B26</s:f>
        <s:v>-2822.0</s:v>
      </s:c>
      <s:c r="C10" s="2" t="n"/>
      <s:c r="D10" s="2" t="n"/>
      <s:c r="E10" s="2" t="n"/>
      <s:c r="F10" s="2" t="n"/>
      <s:c r="G10" s="2" t="n"/>
    </s:row>
    <s:row r="11">
      <s:c r="A11" s="2" t="inlineStr">
        <s:is>
          <s:t>Equity value</s:t>
        </s:is>
      </s:c>
      <s:c r="B11" s="5">
        <s:f>B9+B10</s:f>
        <s:v>66353.15233361626</s:v>
      </s:c>
      <s:c r="C11" s="2" t="n"/>
      <s:c r="D11" s="2" t="n"/>
      <s:c r="E11" s="2" t="n"/>
      <s:c r="F11" s="2" t="n"/>
      <s:c r="G11" s="2" t="n"/>
    </s:row>
    <s:row r="12">
      <s:c r="A12" s="2" t="inlineStr">
        <s:is>
          <s:t>Shares</s:t>
        </s:is>
      </s:c>
      <s:c r="B12" s="4">
        <s:f>Assumptions!B27</s:f>
        <s:v>993.57</s:v>
      </s:c>
      <s:c r="C12" s="2" t="n"/>
      <s:c r="D12" s="2" t="n"/>
      <s:c r="E12" s="2" t="n"/>
      <s:c r="F12" s="2" t="n"/>
      <s:c r="G12" s="2" t="n"/>
    </s:row>
    <s:row r="13">
      <s:c r="A13" s="2" t="inlineStr">
        <s:is>
          <s:t>Per-share value</s:t>
        </s:is>
      </s:c>
      <s:c r="B13" s="5">
        <s:f>B11/B12</s:f>
        <s:v>66.7825642215609</s:v>
      </s:c>
      <s:c r="C13" s="2" t="n"/>
      <s:c r="D13" s="2" t="n"/>
      <s:c r="E13" s="2" t="n"/>
      <s:c r="F13" s="2" t="n"/>
      <s:c r="G13" s="2" t="n"/>
    </s:row>
    <s:row r="14">
      <s:c r="A14" s="2" t="inlineStr">
        <s:is>
          <s:t>Terminal weight</s:t>
        </s:is>
      </s:c>
      <s:c r="B14" s="5">
        <s:f>B8/B9</s:f>
        <s:v>0.7930124949717773</s:v>
      </s:c>
      <s:c r="C14" s="2" t="n"/>
      <s:c r="D14" s="2" t="n"/>
      <s:c r="E14" s="2" t="n"/>
      <s:c r="F14" s="2" t="n"/>
      <s:c r="G14" s="2" t="n"/>
    </s:row>
  </s:sheetData>
  <s:autoFilter ref="A1:A1"/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C1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</s:cols>
  <s:sheetData>
    <s:row r="1">
      <s:c r="A1" s="1" t="inlineStr">
        <s:is>
          <s:t>period</s:t>
        </s:is>
      </s:c>
      <s:c r="B1" s="1" t="inlineStr">
        <s:is>
          <s:t>line</s:t>
        </s:is>
      </s:c>
      <s:c r="C1" s="1" t="inlineStr">
        <s:is>
          <s:t>value</s:t>
        </s:is>
      </s:c>
    </s:row>
  </s:sheetData>
  <s: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D8D"/>
  <s:autoFilter ref="A1:C1"/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burr</dc:creator>
  <dc:title>fcff — base</dc:title>
  <dcterms:created xsi:type="dcterms:W3CDTF">2000-01-01T00:00:00Z</dcterms:created>
  <dcterms:modified xsi:type="dcterms:W3CDTF">2000-01-01T00:00:00Z</dcterms:modified>
</cp:coreProperties>
</file>