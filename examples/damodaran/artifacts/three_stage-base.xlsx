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del" sheetId="2" state="visible" r:id="rId2"/>
    <sheet name="DCF" sheetId="3" state="visible" r:id="rId3"/>
    <sheet name="Actuals" sheetId="4" state="visible" r:id="rId4"/>
  </sheets>
  <definedNames>
    <definedName name="_xlnm._FilterDatabase" localSheetId="0" hidden="1">'Assumptions'!$A$1:$A$1</definedName>
    <definedName name="_xlnm._FilterDatabase" localSheetId="1" hidden="1">'Model'!$A$1:$A$1</definedName>
    <definedName name="_xlnm._FilterDatabase" localSheetId="2" hidden="1">'DCF'!$A$1:$A$1</definedName>
    <definedName name="_xlnm._FilterDatabase" localSheetId="3" hidden="1">'Actuals'!$A$1:$C$1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;[Red](#,##0.00)"/>
  </numFmts>
  <fonts count="6">
    <font>
      <name val="Calibri"/>
      <family val="2"/>
      <color theme="1"/>
      <sz val="11"/>
      <scheme val="minor"/>
    </font>
    <font>
      <name val="Aptos"/>
      <color rgb="00000000"/>
      <sz val="11"/>
    </font>
    <font>
      <name val="Aptos"/>
      <b val="1"/>
      <color rgb="00FFFFFF"/>
    </font>
    <font>
      <name val="Aptos"/>
      <color rgb="000000FF"/>
    </font>
    <font>
      <name val="Aptos"/>
      <color rgb="00008000"/>
    </font>
    <font>
      <name val="Aptos"/>
      <color rgb="00000000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3" fillId="0" borderId="0" applyProtection="1" pivotButton="0" quotePrefix="0" xfId="0">
      <protection locked="0" hidden="0"/>
    </xf>
    <xf numFmtId="165" fontId="4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burr</author>
  </authors>
  <commentList>
    <comment ref="A2" authorId="0" shapeId="0">
      <text>
        <t>rationale: Historical workbook illustration, not current company guidance. Derived binding from source inputs or structural year weights; see models.py.
source: fcff3st.xls!Sheet1; input-only adapter</t>
      </text>
    </comment>
    <comment ref="A3" authorId="0" shapeId="0">
      <text>
        <t>rationale: Historical workbook illustration, not current company guidance. Direct source assumption.
source: fcff3st.xls!Sheet1!D5</t>
      </text>
    </comment>
    <comment ref="A4" authorId="0" shapeId="0">
      <text>
        <t>rationale: Historical workbook illustration, not current company guidance. Direct source assumption.
source: fcff3st.xls!Sheet1!E18</t>
      </text>
    </comment>
    <comment ref="A5" authorId="0" shapeId="0">
      <text>
        <t>rationale: Historical workbook illustration, not current company guidance. Derived binding from source inputs or structural year weights; see models.py.
source: fcff3st.xls!Sheet1; input-only adapter</t>
      </text>
    </comment>
    <comment ref="A6" authorId="0" shapeId="0">
      <text>
        <t>rationale: Historical workbook illustration, not current company guidance. Derived binding from source inputs or structural year weights; see models.py.
source: fcff3st.xls!Sheet1; input-only adapter</t>
      </text>
    </comment>
    <comment ref="A7" authorId="0" shapeId="0">
      <text>
        <t>rationale: Historical workbook illustration, not current company guidance. Derived binding from source inputs or structural year weights; see models.py.
source: fcff3st.xls!Sheet1; input-only adapter</t>
      </text>
    </comment>
    <comment ref="A8" authorId="0" shapeId="0">
      <text>
        <t>rationale: Historical workbook illustration, not current company guidance. Direct source assumption.
source: fcff3st.xls!Sheet1!D6</t>
      </text>
    </comment>
    <comment ref="A9" authorId="0" shapeId="0">
      <text>
        <t>rationale: Historical workbook illustration, not current company guidance. Derived binding from source inputs or structural year weights; see models.py.
source: fcff3st.xls!Sheet1; input-only adapter</t>
      </text>
    </comment>
    <comment ref="A10" authorId="0" shapeId="0">
      <text>
        <t>rationale: Historical workbook illustration, not current company guidance. Direct source assumption.
source: fcff3st.xls!Sheet1!E14</t>
      </text>
    </comment>
    <comment ref="A11" authorId="0" shapeId="0">
      <text>
        <t>rationale: Historical workbook illustration, not current company guidance. Derived binding from source inputs or structural year weights; see models.py.
source: fcff3st.xls!Sheet1; input-only adapter</t>
      </text>
    </comment>
    <comment ref="A12" authorId="0" shapeId="0">
      <text>
        <t>rationale: Historical workbook illustration, not current company guidance. Direct source assumption.
source: fcff3st.xls!Sheet1!D3</t>
      </text>
    </comment>
    <comment ref="A13" authorId="0" shapeId="0">
      <text>
        <t>rationale: Historical workbook illustration, not current company guidance. Derived binding from source inputs or structural year weights; see models.py.
source: fcff3st.xls!Sheet1; input-only adapter</t>
      </text>
    </comment>
    <comment ref="A14" authorId="0" shapeId="0">
      <text>
        <t>rationale: Historical workbook illustration, not current company guidance. Direct source assumption.
source: fcff3st.xls!Sheet1!E23</t>
      </text>
    </comment>
    <comment ref="A15" authorId="0" shapeId="0">
      <text>
        <t>rationale: Historical workbook illustration, not current company guidance. Direct source assumption.
source: fcff3st.xls!Sheet1!E22</t>
      </text>
    </comment>
    <comment ref="A16" authorId="0" shapeId="0">
      <text>
        <t>rationale: Historical workbook illustration, not current company guidance. Direct source assumption.
source: fcff3st.xls!Sheet1!E26</t>
      </text>
    </comment>
    <comment ref="A17" authorId="0" shapeId="0">
      <text>
        <t>rationale: Historical workbook illustration, not current company guidance. Direct source assumption.
source: fcff3st.xls!Sheet1!E27</t>
      </text>
    </comment>
    <comment ref="A18" authorId="0" shapeId="0">
      <text>
        <t>rationale: Historical workbook illustration, not current company guidance. Direct source assumption.
source: fcff3st.xls!Sheet1!E29</t>
      </text>
    </comment>
    <comment ref="A19" authorId="0" shapeId="0">
      <text>
        <t>rationale: Historical workbook illustration, not current company guidance. Direct source assumption.
source: fcff3st.xls!Sheet1!E20</t>
      </text>
    </comment>
    <comment ref="A20" authorId="0" shapeId="0">
      <text>
        <t>rationale: Historical workbook illustration, not current company guidance. Derived binding from source inputs or structural year weights; see models.py.
source: fcff3st.xls!Sheet1; input-only adapter</t>
      </text>
    </comment>
    <comment ref="A21" authorId="0" shapeId="0">
      <text>
        <t>rationale: Historical workbook illustration, not current company guidance. Derived binding from source inputs or structural year weights; see models.py.
source: fcff3st.xls!Sheet1; input-only adapter</t>
      </text>
    </comment>
    <comment ref="A22" authorId="0" shapeId="0">
      <text>
        <t>rationale: Historical workbook illustration, not current company guidance. Direct source assumption.
source: fcff3st.xls!Sheet1!E19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K26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  <s:col width="18" customWidth="1" min="8" max="8"/>
    <s:col width="18" customWidth="1" min="9" max="9"/>
    <s:col width="18" customWidth="1" min="10" max="10"/>
    <s:col width="18" customWidth="1" min="11" max="11"/>
  </s:cols>
  <s:sheetData>
    <s:row r="1">
      <s:c r="A1" s="1" t="inlineStr">
        <s:is>
          <s:t>Line</s:t>
        </s:is>
      </s:c>
      <s:c r="B1" s="1" t="n">
        <s:v>1</s:v>
      </s:c>
      <s:c r="C1" s="1" t="n">
        <s:v>2</s:v>
      </s:c>
      <s:c r="D1" s="1" t="n">
        <s:v>3</s:v>
      </s:c>
      <s:c r="E1" s="1" t="n">
        <s:v>4</s:v>
      </s:c>
      <s:c r="F1" s="1" t="n">
        <s:v>5</s:v>
      </s:c>
      <s:c r="G1" s="1" t="n">
        <s:v>6</s:v>
      </s:c>
      <s:c r="H1" s="1" t="n">
        <s:v>7</s:v>
      </s:c>
      <s:c r="I1" s="1" t="n">
        <s:v>8</s:v>
      </s:c>
      <s:c r="J1" s="1" t="n">
        <s:v>9</s:v>
      </s:c>
      <s:c r="K1" s="1" t="n">
        <s:v>10</s:v>
      </s:c>
    </s:row>
    <s:row r="2">
      <s:c r="A2" s="2" t="inlineStr">
        <s:is>
          <s:t>beta_profile</s:t>
        </s:is>
      </s:c>
      <s:c r="B2" s="3" t="n">
        <s:v>1.25</s:v>
      </s:c>
      <s:c r="C2" s="3" t="n">
        <s:v>1.25</s:v>
      </s:c>
      <s:c r="D2" s="3" t="n">
        <s:v>1.25</s:v>
      </s:c>
      <s:c r="E2" s="3" t="n">
        <s:v>1.25</s:v>
      </s:c>
      <s:c r="F2" s="3" t="n">
        <s:v>1.25</s:v>
      </s:c>
      <s:c r="G2" s="3" t="n">
        <s:v>1.22</s:v>
      </s:c>
      <s:c r="H2" s="3" t="n">
        <s:v>1.19</s:v>
      </s:c>
      <s:c r="I2" s="3" t="n">
        <s:v>1.16</s:v>
      </s:c>
      <s:c r="J2" s="3" t="n">
        <s:v>1.13</s:v>
      </s:c>
      <s:c r="K2" s="3" t="n">
        <s:v>1.1</s:v>
      </s:c>
    </s:row>
    <s:row r="3">
      <s:c r="A3" s="2" t="inlineStr">
        <s:is>
          <s:t>capex0</s:t>
        </s:is>
      </s:c>
      <s:c r="B3" s="3" t="n">
        <s:v>233</s:v>
      </s:c>
      <s:c r="C3" s="3" t="n">
        <s:v>233</s:v>
      </s:c>
      <s:c r="D3" s="3" t="n">
        <s:v>233</s:v>
      </s:c>
      <s:c r="E3" s="3" t="n">
        <s:v>233</s:v>
      </s:c>
      <s:c r="F3" s="3" t="n">
        <s:v>233</s:v>
      </s:c>
      <s:c r="G3" s="3" t="n">
        <s:v>233</s:v>
      </s:c>
      <s:c r="H3" s="3" t="n">
        <s:v>233</s:v>
      </s:c>
      <s:c r="I3" s="3" t="n">
        <s:v>233</s:v>
      </s:c>
      <s:c r="J3" s="3" t="n">
        <s:v>233</s:v>
      </s:c>
      <s:c r="K3" s="3" t="n">
        <s:v>233</s:v>
      </s:c>
    </s:row>
    <s:row r="4">
      <s:c r="A4" s="2" t="inlineStr">
        <s:is>
          <s:t>capex_growth</s:t>
        </s:is>
      </s:c>
      <s:c r="B4" s="3" t="n">
        <s:v>0.3</s:v>
      </s:c>
      <s:c r="C4" s="3" t="n">
        <s:v>0.3</s:v>
      </s:c>
      <s:c r="D4" s="3" t="n">
        <s:v>0.3</s:v>
      </s:c>
      <s:c r="E4" s="3" t="n">
        <s:v>0.3</s:v>
      </s:c>
      <s:c r="F4" s="3" t="n">
        <s:v>0.3</s:v>
      </s:c>
      <s:c r="G4" s="3" t="n">
        <s:v>0.3</s:v>
      </s:c>
      <s:c r="H4" s="3" t="n">
        <s:v>0.3</s:v>
      </s:c>
      <s:c r="I4" s="3" t="n">
        <s:v>0.3</s:v>
      </s:c>
      <s:c r="J4" s="3" t="n">
        <s:v>0.3</s:v>
      </s:c>
      <s:c r="K4" s="3" t="n">
        <s:v>0.3</s:v>
      </s:c>
    </s:row>
    <s:row r="5">
      <s:c r="A5" s="2" t="inlineStr">
        <s:is>
          <s:t>capex_growth_profile</s:t>
        </s:is>
      </s:c>
      <s:c r="B5" s="3" t="n">
        <s:v>0.3</s:v>
      </s:c>
      <s:c r="C5" s="3" t="n">
        <s:v>0.3</s:v>
      </s:c>
      <s:c r="D5" s="3" t="n">
        <s:v>0.3</s:v>
      </s:c>
      <s:c r="E5" s="3" t="n">
        <s:v>0.3</s:v>
      </s:c>
      <s:c r="F5" s="3" t="n">
        <s:v>0.3</s:v>
      </s:c>
      <s:c r="G5" s="3" t="n">
        <s:v>0</s:v>
      </s:c>
      <s:c r="H5" s="3" t="n">
        <s:v>0</s:v>
      </s:c>
      <s:c r="I5" s="3" t="n">
        <s:v>0</s:v>
      </s:c>
      <s:c r="J5" s="3" t="n">
        <s:v>0</s:v>
      </s:c>
      <s:c r="K5" s="3" t="n">
        <s:v>0</s:v>
      </s:c>
    </s:row>
    <s:row r="6">
      <s:c r="A6" s="2" t="inlineStr">
        <s:is>
          <s:t>debt_cost_profile</s:t>
        </s:is>
      </s:c>
      <s:c r="B6" s="3" t="n">
        <s:v>0.08500000000000001</s:v>
      </s:c>
      <s:c r="C6" s="3" t="n">
        <s:v>0.08500000000000001</s:v>
      </s:c>
      <s:c r="D6" s="3" t="n">
        <s:v>0.08500000000000001</s:v>
      </s:c>
      <s:c r="E6" s="3" t="n">
        <s:v>0.08500000000000001</s:v>
      </s:c>
      <s:c r="F6" s="3" t="n">
        <s:v>0.08500000000000001</s:v>
      </s:c>
      <s:c r="G6" s="3" t="n">
        <s:v>0.083</s:v>
      </s:c>
      <s:c r="H6" s="3" t="n">
        <s:v>0.081</s:v>
      </s:c>
      <s:c r="I6" s="3" t="n">
        <s:v>0.079</s:v>
      </s:c>
      <s:c r="J6" s="3" t="n">
        <s:v>0.077</s:v>
      </s:c>
      <s:c r="K6" s="3" t="n">
        <s:v>0.075</s:v>
      </s:c>
    </s:row>
    <s:row r="7">
      <s:c r="A7" s="2" t="inlineStr">
        <s:is>
          <s:t>debt_weight_profile</s:t>
        </s:is>
      </s:c>
      <s:c r="B7" s="3" t="n">
        <s:v>0</s:v>
      </s:c>
      <s:c r="C7" s="3" t="n">
        <s:v>0</s:v>
      </s:c>
      <s:c r="D7" s="3" t="n">
        <s:v>0</s:v>
      </s:c>
      <s:c r="E7" s="3" t="n">
        <s:v>0</s:v>
      </s:c>
      <s:c r="F7" s="3" t="n">
        <s:v>0</s:v>
      </s:c>
      <s:c r="G7" s="3" t="n">
        <s:v>0.01</s:v>
      </s:c>
      <s:c r="H7" s="3" t="n">
        <s:v>0.02</s:v>
      </s:c>
      <s:c r="I7" s="3" t="n">
        <s:v>0.03000000000000001</s:v>
      </s:c>
      <s:c r="J7" s="3" t="n">
        <s:v>0.04</s:v>
      </s:c>
      <s:c r="K7" s="3" t="n">
        <s:v>0.05</s:v>
      </s:c>
    </s:row>
    <s:row r="8">
      <s:c r="A8" s="2" t="inlineStr">
        <s:is>
          <s:t>depreciation0</s:t>
        </s:is>
      </s:c>
      <s:c r="B8" s="3" t="n">
        <s:v>298</s:v>
      </s:c>
      <s:c r="C8" s="3" t="n">
        <s:v>298</s:v>
      </s:c>
      <s:c r="D8" s="3" t="n">
        <s:v>298</s:v>
      </s:c>
      <s:c r="E8" s="3" t="n">
        <s:v>298</s:v>
      </s:c>
      <s:c r="F8" s="3" t="n">
        <s:v>298</s:v>
      </s:c>
      <s:c r="G8" s="3" t="n">
        <s:v>298</s:v>
      </s:c>
      <s:c r="H8" s="3" t="n">
        <s:v>298</s:v>
      </s:c>
      <s:c r="I8" s="3" t="n">
        <s:v>298</s:v>
      </s:c>
      <s:c r="J8" s="3" t="n">
        <s:v>298</s:v>
      </s:c>
      <s:c r="K8" s="3" t="n">
        <s:v>298</s:v>
      </s:c>
    </s:row>
    <s:row r="9">
      <s:c r="A9" s="2" t="inlineStr">
        <s:is>
          <s:t>depreciation_growth_profile</s:t>
        </s:is>
      </s:c>
      <s:c r="B9" s="3" t="n">
        <s:v>0.3</s:v>
      </s:c>
      <s:c r="C9" s="3" t="n">
        <s:v>0.3</s:v>
      </s:c>
      <s:c r="D9" s="3" t="n">
        <s:v>0.3</s:v>
      </s:c>
      <s:c r="E9" s="3" t="n">
        <s:v>0.3</s:v>
      </s:c>
      <s:c r="F9" s="3" t="n">
        <s:v>0.3</s:v>
      </s:c>
      <s:c r="G9" s="3" t="n">
        <s:v>0.252</s:v>
      </s:c>
      <s:c r="H9" s="3" t="n">
        <s:v>0.204</s:v>
      </s:c>
      <s:c r="I9" s="3" t="n">
        <s:v>0.156</s:v>
      </s:c>
      <s:c r="J9" s="3" t="n">
        <s:v>0.108</s:v>
      </s:c>
      <s:c r="K9" s="3" t="n">
        <s:v>0.06</s:v>
      </s:c>
    </s:row>
    <s:row r="10">
      <s:c r="A10" s="2" t="inlineStr">
        <s:is>
          <s:t>high_growth</s:t>
        </s:is>
      </s:c>
      <s:c r="B10" s="3" t="n">
        <s:v>0.3</s:v>
      </s:c>
      <s:c r="C10" s="3" t="n">
        <s:v>0.3</s:v>
      </s:c>
      <s:c r="D10" s="3" t="n">
        <s:v>0.3</s:v>
      </s:c>
      <s:c r="E10" s="3" t="n">
        <s:v>0.3</s:v>
      </s:c>
      <s:c r="F10" s="3" t="n">
        <s:v>0.3</s:v>
      </s:c>
      <s:c r="G10" s="3" t="n">
        <s:v>0.3</s:v>
      </s:c>
      <s:c r="H10" s="3" t="n">
        <s:v>0.3</s:v>
      </s:c>
      <s:c r="I10" s="3" t="n">
        <s:v>0.3</s:v>
      </s:c>
      <s:c r="J10" s="3" t="n">
        <s:v>0.3</s:v>
      </s:c>
      <s:c r="K10" s="3" t="n">
        <s:v>0.3</s:v>
      </s:c>
    </s:row>
    <s:row r="11">
      <s:c r="A11" s="2" t="inlineStr">
        <s:is>
          <s:t>margin_profile</s:t>
        </s:is>
      </s:c>
      <s:c r="B11" s="3" t="n">
        <s:v>0.1151346122843785</s:v>
      </s:c>
      <s:c r="C11" s="3" t="n">
        <s:v>0.1613509592132839</s:v>
      </s:c>
      <s:c r="D11" s="3" t="n">
        <s:v>0.2075673061421892</s:v>
      </s:c>
      <s:c r="E11" s="3" t="n">
        <s:v>0.2537836530710946</s:v>
      </s:c>
      <s:c r="F11" s="3" t="n">
        <s:v>0.2999999999999999</s:v>
      </s:c>
      <s:c r="G11" s="3" t="n">
        <s:v>0.29</s:v>
      </s:c>
      <s:c r="H11" s="3" t="n">
        <s:v>0.28</s:v>
      </s:c>
      <s:c r="I11" s="3" t="n">
        <s:v>0.27</s:v>
      </s:c>
      <s:c r="J11" s="3" t="n">
        <s:v>0.26</s:v>
      </s:c>
      <s:c r="K11" s="3" t="n">
        <s:v>0.25</s:v>
      </s:c>
    </s:row>
    <s:row r="12">
      <s:c r="A12" s="2" t="inlineStr">
        <s:is>
          <s:t>revenue0</s:t>
        </s:is>
      </s:c>
      <s:c r="B12" s="3" t="n">
        <s:v>12406</s:v>
      </s:c>
      <s:c r="C12" s="3" t="n">
        <s:v>12406</s:v>
      </s:c>
      <s:c r="D12" s="3" t="n">
        <s:v>12406</s:v>
      </s:c>
      <s:c r="E12" s="3" t="n">
        <s:v>12406</s:v>
      </s:c>
      <s:c r="F12" s="3" t="n">
        <s:v>12406</s:v>
      </s:c>
      <s:c r="G12" s="3" t="n">
        <s:v>12406</s:v>
      </s:c>
      <s:c r="H12" s="3" t="n">
        <s:v>12406</s:v>
      </s:c>
      <s:c r="I12" s="3" t="n">
        <s:v>12406</s:v>
      </s:c>
      <s:c r="J12" s="3" t="n">
        <s:v>12406</s:v>
      </s:c>
      <s:c r="K12" s="3" t="n">
        <s:v>12406</s:v>
      </s:c>
    </s:row>
    <s:row r="13">
      <s:c r="A13" s="2" t="inlineStr">
        <s:is>
          <s:t>revenue_growth_profile</s:t>
        </s:is>
      </s:c>
      <s:c r="B13" s="3" t="n">
        <s:v>0.3</s:v>
      </s:c>
      <s:c r="C13" s="3" t="n">
        <s:v>0.3</s:v>
      </s:c>
      <s:c r="D13" s="3" t="n">
        <s:v>0.3</s:v>
      </s:c>
      <s:c r="E13" s="3" t="n">
        <s:v>0.3</s:v>
      </s:c>
      <s:c r="F13" s="3" t="n">
        <s:v>0.3</s:v>
      </s:c>
      <s:c r="G13" s="3" t="n">
        <s:v>0.252</s:v>
      </s:c>
      <s:c r="H13" s="3" t="n">
        <s:v>0.204</s:v>
      </s:c>
      <s:c r="I13" s="3" t="n">
        <s:v>0.156</s:v>
      </s:c>
      <s:c r="J13" s="3" t="n">
        <s:v>0.108</s:v>
      </s:c>
      <s:c r="K13" s="3" t="n">
        <s:v>0.06</s:v>
      </s:c>
    </s:row>
    <s:row r="14">
      <s:c r="A14" s="2" t="inlineStr">
        <s:is>
          <s:t>risk_premium</s:t>
        </s:is>
      </s:c>
      <s:c r="B14" s="3" t="n">
        <s:v>0.055</s:v>
      </s:c>
      <s:c r="C14" s="3" t="n">
        <s:v>0.055</s:v>
      </s:c>
      <s:c r="D14" s="3" t="n">
        <s:v>0.055</s:v>
      </s:c>
      <s:c r="E14" s="3" t="n">
        <s:v>0.055</s:v>
      </s:c>
      <s:c r="F14" s="3" t="n">
        <s:v>0.055</s:v>
      </s:c>
      <s:c r="G14" s="3" t="n">
        <s:v>0.055</s:v>
      </s:c>
      <s:c r="H14" s="3" t="n">
        <s:v>0.055</s:v>
      </s:c>
      <s:c r="I14" s="3" t="n">
        <s:v>0.055</s:v>
      </s:c>
      <s:c r="J14" s="3" t="n">
        <s:v>0.055</s:v>
      </s:c>
      <s:c r="K14" s="3" t="n">
        <s:v>0.055</s:v>
      </s:c>
    </s:row>
    <s:row r="15">
      <s:c r="A15" s="2" t="inlineStr">
        <s:is>
          <s:t>riskfree</s:t>
        </s:is>
      </s:c>
      <s:c r="B15" s="3" t="n">
        <s:v>0.065</s:v>
      </s:c>
      <s:c r="C15" s="3" t="n">
        <s:v>0.065</s:v>
      </s:c>
      <s:c r="D15" s="3" t="n">
        <s:v>0.065</s:v>
      </s:c>
      <s:c r="E15" s="3" t="n">
        <s:v>0.065</s:v>
      </s:c>
      <s:c r="F15" s="3" t="n">
        <s:v>0.065</s:v>
      </s:c>
      <s:c r="G15" s="3" t="n">
        <s:v>0.065</s:v>
      </s:c>
      <s:c r="H15" s="3" t="n">
        <s:v>0.065</s:v>
      </s:c>
      <s:c r="I15" s="3" t="n">
        <s:v>0.065</s:v>
      </s:c>
      <s:c r="J15" s="3" t="n">
        <s:v>0.065</s:v>
      </s:c>
      <s:c r="K15" s="3" t="n">
        <s:v>0.065</s:v>
      </s:c>
    </s:row>
    <s:row r="16">
      <s:c r="A16" s="2" t="inlineStr">
        <s:is>
          <s:t>stable_growth</s:t>
        </s:is>
      </s:c>
      <s:c r="B16" s="3" t="n">
        <s:v>0.06</s:v>
      </s:c>
      <s:c r="C16" s="3" t="n">
        <s:v>0.06</s:v>
      </s:c>
      <s:c r="D16" s="3" t="n">
        <s:v>0.06</s:v>
      </s:c>
      <s:c r="E16" s="3" t="n">
        <s:v>0.06</s:v>
      </s:c>
      <s:c r="F16" s="3" t="n">
        <s:v>0.06</s:v>
      </s:c>
      <s:c r="G16" s="3" t="n">
        <s:v>0.06</s:v>
      </s:c>
      <s:c r="H16" s="3" t="n">
        <s:v>0.06</s:v>
      </s:c>
      <s:c r="I16" s="3" t="n">
        <s:v>0.06</s:v>
      </s:c>
      <s:c r="J16" s="3" t="n">
        <s:v>0.06</s:v>
      </s:c>
      <s:c r="K16" s="3" t="n">
        <s:v>0.06</s:v>
      </s:c>
    </s:row>
    <s:row r="17">
      <s:c r="A17" s="2" t="inlineStr">
        <s:is>
          <s:t>stable_margin</s:t>
        </s:is>
      </s:c>
      <s:c r="B17" s="3" t="n">
        <s:v>0.25</s:v>
      </s:c>
      <s:c r="C17" s="3" t="n">
        <s:v>0.25</s:v>
      </s:c>
      <s:c r="D17" s="3" t="n">
        <s:v>0.25</s:v>
      </s:c>
      <s:c r="E17" s="3" t="n">
        <s:v>0.25</s:v>
      </s:c>
      <s:c r="F17" s="3" t="n">
        <s:v>0.25</s:v>
      </s:c>
      <s:c r="G17" s="3" t="n">
        <s:v>0.25</s:v>
      </s:c>
      <s:c r="H17" s="3" t="n">
        <s:v>0.25</s:v>
      </s:c>
      <s:c r="I17" s="3" t="n">
        <s:v>0.25</s:v>
      </s:c>
      <s:c r="J17" s="3" t="n">
        <s:v>0.25</s:v>
      </s:c>
      <s:c r="K17" s="3" t="n">
        <s:v>0.25</s:v>
      </s:c>
    </s:row>
    <s:row r="18">
      <s:c r="A18" s="2" t="inlineStr">
        <s:is>
          <s:t>stable_roc</s:t>
        </s:is>
      </s:c>
      <s:c r="B18" s="3" t="n">
        <s:v>0.12</s:v>
      </s:c>
      <s:c r="C18" s="3" t="n">
        <s:v>0.12</s:v>
      </s:c>
      <s:c r="D18" s="3" t="n">
        <s:v>0.12</s:v>
      </s:c>
      <s:c r="E18" s="3" t="n">
        <s:v>0.12</s:v>
      </s:c>
      <s:c r="F18" s="3" t="n">
        <s:v>0.12</s:v>
      </s:c>
      <s:c r="G18" s="3" t="n">
        <s:v>0.12</s:v>
      </s:c>
      <s:c r="H18" s="3" t="n">
        <s:v>0.12</s:v>
      </s:c>
      <s:c r="I18" s="3" t="n">
        <s:v>0.12</s:v>
      </s:c>
      <s:c r="J18" s="3" t="n">
        <s:v>0.12</s:v>
      </s:c>
      <s:c r="K18" s="3" t="n">
        <s:v>0.12</s:v>
      </s:c>
    </s:row>
    <s:row r="19">
      <s:c r="A19" s="2" t="inlineStr">
        <s:is>
          <s:t>tax_rate</s:t>
        </s:is>
      </s:c>
      <s:c r="B19" s="3" t="n">
        <s:v>0.36</s:v>
      </s:c>
      <s:c r="C19" s="3" t="n">
        <s:v>0.36</s:v>
      </s:c>
      <s:c r="D19" s="3" t="n">
        <s:v>0.36</s:v>
      </s:c>
      <s:c r="E19" s="3" t="n">
        <s:v>0.36</s:v>
      </s:c>
      <s:c r="F19" s="3" t="n">
        <s:v>0.36</s:v>
      </s:c>
      <s:c r="G19" s="3" t="n">
        <s:v>0.36</s:v>
      </s:c>
      <s:c r="H19" s="3" t="n">
        <s:v>0.36</s:v>
      </s:c>
      <s:c r="I19" s="3" t="n">
        <s:v>0.36</s:v>
      </s:c>
      <s:c r="J19" s="3" t="n">
        <s:v>0.36</s:v>
      </s:c>
      <s:c r="K19" s="3" t="n">
        <s:v>0.36</s:v>
      </s:c>
    </s:row>
    <s:row r="20">
      <s:c r="A20" s="2" t="inlineStr">
        <s:is>
          <s:t>transition_weight</s:t>
        </s:is>
      </s:c>
      <s:c r="B20" s="3" t="n">
        <s:v>0</s:v>
      </s:c>
      <s:c r="C20" s="3" t="n">
        <s:v>0</s:v>
      </s:c>
      <s:c r="D20" s="3" t="n">
        <s:v>0</s:v>
      </s:c>
      <s:c r="E20" s="3" t="n">
        <s:v>0</s:v>
      </s:c>
      <s:c r="F20" s="3" t="n">
        <s:v>0</s:v>
      </s:c>
      <s:c r="G20" s="3" t="n">
        <s:v>0.2</s:v>
      </s:c>
      <s:c r="H20" s="3" t="n">
        <s:v>0.4</s:v>
      </s:c>
      <s:c r="I20" s="3" t="n">
        <s:v>0.6</s:v>
      </s:c>
      <s:c r="J20" s="3" t="n">
        <s:v>0.8</s:v>
      </s:c>
      <s:c r="K20" s="3" t="n">
        <s:v>1</s:v>
      </s:c>
    </s:row>
    <s:row r="21">
      <s:c r="A21" s="2" t="inlineStr">
        <s:is>
          <s:t>transition_years</s:t>
        </s:is>
      </s:c>
      <s:c r="B21" s="3" t="n">
        <s:v>5</s:v>
      </s:c>
      <s:c r="C21" s="3" t="n">
        <s:v>5</s:v>
      </s:c>
      <s:c r="D21" s="3" t="n">
        <s:v>5</s:v>
      </s:c>
      <s:c r="E21" s="3" t="n">
        <s:v>5</s:v>
      </s:c>
      <s:c r="F21" s="3" t="n">
        <s:v>5</s:v>
      </s:c>
      <s:c r="G21" s="3" t="n">
        <s:v>5</s:v>
      </s:c>
      <s:c r="H21" s="3" t="n">
        <s:v>5</s:v>
      </s:c>
      <s:c r="I21" s="3" t="n">
        <s:v>5</s:v>
      </s:c>
      <s:c r="J21" s="3" t="n">
        <s:v>5</s:v>
      </s:c>
      <s:c r="K21" s="3" t="n">
        <s:v>5</s:v>
      </s:c>
    </s:row>
    <s:row r="22">
      <s:c r="A22" s="2" t="inlineStr">
        <s:is>
          <s:t>working_capital_ratio</s:t>
        </s:is>
      </s:c>
      <s:c r="B22" s="3" t="n">
        <s:v>0.075</s:v>
      </s:c>
      <s:c r="C22" s="3" t="n">
        <s:v>0.075</s:v>
      </s:c>
      <s:c r="D22" s="3" t="n">
        <s:v>0.075</s:v>
      </s:c>
      <s:c r="E22" s="3" t="n">
        <s:v>0.075</s:v>
      </s:c>
      <s:c r="F22" s="3" t="n">
        <s:v>0.075</s:v>
      </s:c>
      <s:c r="G22" s="3" t="n">
        <s:v>0.075</s:v>
      </s:c>
      <s:c r="H22" s="3" t="n">
        <s:v>0.075</s:v>
      </s:c>
      <s:c r="I22" s="3" t="n">
        <s:v>0.075</s:v>
      </s:c>
      <s:c r="J22" s="3" t="n">
        <s:v>0.075</s:v>
      </s:c>
      <s:c r="K22" s="3" t="n">
        <s:v>0.075</s:v>
      </s:c>
    </s:row>
    <s:row r="23">
      <s:c r="A23" s="2" t="inlineStr">
        <s:is>
          <s:t>valuation.wacc</s:t>
        </s:is>
      </s:c>
      <s:c r="B23" s="4">
        <s:f>Model!B42</s:f>
        <s:v>0.13375</s:v>
      </s:c>
      <s:c r="C23" s="4">
        <s:f>Model!C42</s:f>
        <s:v>0.13375</s:v>
      </s:c>
      <s:c r="D23" s="4">
        <s:f>Model!D42</s:f>
        <s:v>0.13375</s:v>
      </s:c>
      <s:c r="E23" s="4">
        <s:f>Model!E42</s:f>
        <s:v>0.13375</s:v>
      </s:c>
      <s:c r="F23" s="4">
        <s:f>Model!F42</s:f>
        <s:v>0.13375</s:v>
      </s:c>
      <s:c r="G23" s="4">
        <s:f>Model!G42</s:f>
        <s:v>0.13131020000000002</s:v>
      </s:c>
      <s:c r="H23" s="4">
        <s:f>Model!H42</s:f>
        <s:v>0.12887780000000001</s:v>
      </s:c>
      <s:c r="I23" s="4">
        <s:f>Model!I42</s:f>
        <s:v>0.1264528</s:v>
      </s:c>
      <s:c r="J23" s="4">
        <s:f>Model!J42</s:f>
        <s:v>0.12403519999999998</s:v>
      </s:c>
      <s:c r="K23" s="4">
        <s:f>Model!K42</s:f>
        <s:v>0.121625</s:v>
      </s:c>
    </s:row>
    <s:row r="24">
      <s:c r="A24" s="2" t="inlineStr">
        <s:is>
          <s:t>valuation.terminal_growth</s:t>
        </s:is>
      </s:c>
      <s:c r="B24" s="4">
        <s:f>Assumptions!B16</s:f>
        <s:v>0.06</s:v>
      </s:c>
      <s:c r="C24" s="4">
        <s:f>Assumptions!C16</s:f>
        <s:v>0.06</s:v>
      </s:c>
      <s:c r="D24" s="4">
        <s:f>Assumptions!D16</s:f>
        <s:v>0.06</s:v>
      </s:c>
      <s:c r="E24" s="4">
        <s:f>Assumptions!E16</s:f>
        <s:v>0.06</s:v>
      </s:c>
      <s:c r="F24" s="4">
        <s:f>Assumptions!F16</s:f>
        <s:v>0.06</s:v>
      </s:c>
      <s:c r="G24" s="4">
        <s:f>Assumptions!G16</s:f>
        <s:v>0.06</s:v>
      </s:c>
      <s:c r="H24" s="4">
        <s:f>Assumptions!H16</s:f>
        <s:v>0.06</s:v>
      </s:c>
      <s:c r="I24" s="4">
        <s:f>Assumptions!I16</s:f>
        <s:v>0.06</s:v>
      </s:c>
      <s:c r="J24" s="4">
        <s:f>Assumptions!J16</s:f>
        <s:v>0.06</s:v>
      </s:c>
      <s:c r="K24" s="4">
        <s:f>Assumptions!K16</s:f>
        <s:v>0.06</s:v>
      </s:c>
    </s:row>
    <s:row r="25">
      <s:c r="A25" s="2" t="inlineStr">
        <s:is>
          <s:t>valuation.net_cash</s:t>
        </s:is>
      </s:c>
      <s:c r="B25" s="3" t="n">
        <s:v>-650</s:v>
      </s:c>
      <s:c r="C25" s="3" t="n">
        <s:v>-650</s:v>
      </s:c>
      <s:c r="D25" s="3" t="n">
        <s:v>-650</s:v>
      </s:c>
      <s:c r="E25" s="3" t="n">
        <s:v>-650</s:v>
      </s:c>
      <s:c r="F25" s="3" t="n">
        <s:v>-650</s:v>
      </s:c>
      <s:c r="G25" s="3" t="n">
        <s:v>-650</s:v>
      </s:c>
      <s:c r="H25" s="3" t="n">
        <s:v>-650</s:v>
      </s:c>
      <s:c r="I25" s="3" t="n">
        <s:v>-650</s:v>
      </s:c>
      <s:c r="J25" s="3" t="n">
        <s:v>-650</s:v>
      </s:c>
      <s:c r="K25" s="3" t="n">
        <s:v>-650</s:v>
      </s:c>
    </s:row>
    <s:row r="26">
      <s:c r="A26" s="2" t="inlineStr">
        <s:is>
          <s:t>valuation.shares</s:t>
        </s:is>
      </s:c>
      <s:c r="B26" s="3" t="n">
        <s:v>1500</s:v>
      </s:c>
      <s:c r="C26" s="3" t="n">
        <s:v>1500</s:v>
      </s:c>
      <s:c r="D26" s="3" t="n">
        <s:v>1500</s:v>
      </s:c>
      <s:c r="E26" s="3" t="n">
        <s:v>1500</s:v>
      </s:c>
      <s:c r="F26" s="3" t="n">
        <s:v>1500</s:v>
      </s:c>
      <s:c r="G26" s="3" t="n">
        <s:v>1500</s:v>
      </s:c>
      <s:c r="H26" s="3" t="n">
        <s:v>1500</s:v>
      </s:c>
      <s:c r="I26" s="3" t="n">
        <s:v>1500</s:v>
      </s:c>
      <s:c r="J26" s="3" t="n">
        <s:v>1500</s:v>
      </s:c>
      <s:c r="K26" s="3" t="n">
        <s:v>1500</s:v>
      </s:c>
    </s:row>
  </s:sheetData>
  <s:autoFilter ref="A1:A1"/>
  <s:pageMargins left="0.75" right="0.75" top="1" bottom="1" header="0.5" footer="0.5"/>
  <s:legacyDrawing r:id="anysvml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K47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  <s:col width="18" customWidth="1" min="8" max="8"/>
    <s:col width="18" customWidth="1" min="9" max="9"/>
    <s:col width="18" customWidth="1" min="10" max="10"/>
    <s:col width="18" customWidth="1" min="11" max="11"/>
  </s:cols>
  <s:sheetData>
    <s:row r="1">
      <s:c r="A1" s="1" t="inlineStr">
        <s:is>
          <s:t>Line</s:t>
        </s:is>
      </s:c>
      <s:c r="B1" s="1" t="n">
        <s:v>1</s:v>
      </s:c>
      <s:c r="C1" s="1" t="n">
        <s:v>2</s:v>
      </s:c>
      <s:c r="D1" s="1" t="n">
        <s:v>3</s:v>
      </s:c>
      <s:c r="E1" s="1" t="n">
        <s:v>4</s:v>
      </s:c>
      <s:c r="F1" s="1" t="n">
        <s:v>5</s:v>
      </s:c>
      <s:c r="G1" s="1" t="n">
        <s:v>6</s:v>
      </s:c>
      <s:c r="H1" s="1" t="n">
        <s:v>7</s:v>
      </s:c>
      <s:c r="I1" s="1" t="n">
        <s:v>8</s:v>
      </s:c>
      <s:c r="J1" s="1" t="n">
        <s:v>9</s:v>
      </s:c>
      <s:c r="K1" s="1" t="n">
        <s:v>10</s:v>
      </s:c>
    </s:row>
    <s:row r="2">
      <s:c r="A2" s="2" t="inlineStr">
        <s:is>
          <s:t>after_tax_debt_cost</s:t>
        </s:is>
      </s:c>
      <s:c r="B2" s="4">
        <s:f>(Assumptions!B6*(1-Assumptions!B19))</s:f>
        <s:v>0.054400000000000004</s:v>
      </s:c>
      <s:c r="C2" s="4">
        <s:f>(Assumptions!C6*(1-Assumptions!C19))</s:f>
        <s:v>0.054400000000000004</s:v>
      </s:c>
      <s:c r="D2" s="4">
        <s:f>(Assumptions!D6*(1-Assumptions!D19))</s:f>
        <s:v>0.054400000000000004</s:v>
      </s:c>
      <s:c r="E2" s="4">
        <s:f>(Assumptions!E6*(1-Assumptions!E19))</s:f>
        <s:v>0.054400000000000004</s:v>
      </s:c>
      <s:c r="F2" s="4">
        <s:f>(Assumptions!F6*(1-Assumptions!F19))</s:f>
        <s:v>0.054400000000000004</s:v>
      </s:c>
      <s:c r="G2" s="4">
        <s:f>(Assumptions!G6*(1-Assumptions!G19))</s:f>
        <s:v>0.05312</s:v>
      </s:c>
      <s:c r="H2" s="4">
        <s:f>(Assumptions!H6*(1-Assumptions!H19))</s:f>
        <s:v>0.051840000000000004</s:v>
      </s:c>
      <s:c r="I2" s="4">
        <s:f>(Assumptions!I6*(1-Assumptions!I19))</s:f>
        <s:v>0.05056</s:v>
      </s:c>
      <s:c r="J2" s="4">
        <s:f>(Assumptions!J6*(1-Assumptions!J19))</s:f>
        <s:v>0.04928</s:v>
      </s:c>
      <s:c r="K2" s="4">
        <s:f>(Assumptions!K6*(1-Assumptions!K19))</s:f>
        <s:v>0.048</s:v>
      </s:c>
    </s:row>
    <s:row r="3">
      <s:c r="A3" s="2" t="inlineStr">
        <s:is>
          <s:t>capex</s:t>
        </s:is>
      </s:c>
      <s:c r="B3" s="4">
        <s:f>(((1-Assumptions!B20)*(Assumptions!B3*B44))+(Assumptions!B20*B39))</s:f>
        <s:v>302.90000000000003</s:v>
      </s:c>
      <s:c r="C3" s="4">
        <s:f>(((1-Assumptions!C20)*(Assumptions!B3*C44))+(Assumptions!C20*C39))</s:f>
        <s:v>393.77000000000004</s:v>
      </s:c>
      <s:c r="D3" s="4">
        <s:f>(((1-Assumptions!D20)*(Assumptions!B3*D44))+(Assumptions!D20*D39))</s:f>
        <s:v>511.9010000000001</s:v>
      </s:c>
      <s:c r="E3" s="4">
        <s:f>(((1-Assumptions!E20)*(Assumptions!B3*E44))+(Assumptions!E20*E39))</s:f>
        <s:v>665.4713000000003</s:v>
      </s:c>
      <s:c r="F3" s="4">
        <s:f>(((1-Assumptions!F20)*(Assumptions!B3*F44))+(Assumptions!F20*F39))</s:f>
        <s:v>865.1126900000003</s:v>
      </s:c>
      <s:c r="G3" s="4">
        <s:f>(((1-Assumptions!G20)*(Assumptions!B3*G44))+(Assumptions!G20*G39))</s:f>
        <s:v>2573.294954886109</s:v>
      </s:c>
      <s:c r="H3" s="4">
        <s:f>(((1-Assumptions!H20)*(Assumptions!B3*H44))+(Assumptions!H20*H39))</s:f>
        <s:v>4281.477219772218</s:v>
      </s:c>
      <s:c r="I3" s="4">
        <s:f>(((1-Assumptions!I20)*(Assumptions!B3*I44))+(Assumptions!I20*I39))</s:f>
        <s:v>5989.659484658326</s:v>
      </s:c>
      <s:c r="J3" s="4">
        <s:f>(((1-Assumptions!J20)*(Assumptions!B3*J44))+(Assumptions!J20*J39))</s:f>
        <s:v>7697.841749544435</s:v>
      </s:c>
      <s:c r="K3" s="4">
        <s:f>(((1-Assumptions!K20)*(Assumptions!B3*K44))+(Assumptions!K20*K39))</s:f>
        <s:v>9406.024014430543</s:v>
      </s:c>
    </s:row>
    <s:row r="4">
      <s:c r="A4" s="2" t="inlineStr">
        <s:is>
          <s:t>cost_of_equity</s:t>
        </s:is>
      </s:c>
      <s:c r="B4" s="4">
        <s:f>(Assumptions!B15+(Assumptions!B2*Assumptions!B14))</s:f>
        <s:v>0.13375</s:v>
      </s:c>
      <s:c r="C4" s="4">
        <s:f>(Assumptions!C15+(Assumptions!C2*Assumptions!C14))</s:f>
        <s:v>0.13375</s:v>
      </s:c>
      <s:c r="D4" s="4">
        <s:f>(Assumptions!D15+(Assumptions!D2*Assumptions!D14))</s:f>
        <s:v>0.13375</s:v>
      </s:c>
      <s:c r="E4" s="4">
        <s:f>(Assumptions!E15+(Assumptions!E2*Assumptions!E14))</s:f>
        <s:v>0.13375</s:v>
      </s:c>
      <s:c r="F4" s="4">
        <s:f>(Assumptions!F15+(Assumptions!F2*Assumptions!F14))</s:f>
        <s:v>0.13375</s:v>
      </s:c>
      <s:c r="G4" s="4">
        <s:f>(Assumptions!G15+(Assumptions!G2*Assumptions!G14))</s:f>
        <s:v>0.1321</s:v>
      </s:c>
      <s:c r="H4" s="4">
        <s:f>(Assumptions!H15+(Assumptions!H2*Assumptions!H14))</s:f>
        <s:v>0.13045</s:v>
      </s:c>
      <s:c r="I4" s="4">
        <s:f>(Assumptions!I15+(Assumptions!I2*Assumptions!I14))</s:f>
        <s:v>0.1288</s:v>
      </s:c>
      <s:c r="J4" s="4">
        <s:f>(Assumptions!J15+(Assumptions!J2*Assumptions!J14))</s:f>
        <s:v>0.12714999999999999</s:v>
      </s:c>
      <s:c r="K4" s="4">
        <s:f>(Assumptions!K15+(Assumptions!K2*Assumptions!K14))</s:f>
        <s:v>0.1255</s:v>
      </s:c>
    </s:row>
    <s:row r="5">
      <s:c r="A5" s="2" t="inlineStr">
        <s:is>
          <s:t>debt_weight</s:t>
        </s:is>
      </s:c>
      <s:c r="B5" s="4">
        <s:f>Assumptions!B7</s:f>
        <s:v>0.0</s:v>
      </s:c>
      <s:c r="C5" s="4">
        <s:f>Assumptions!C7</s:f>
        <s:v>0.0</s:v>
      </s:c>
      <s:c r="D5" s="4">
        <s:f>Assumptions!D7</s:f>
        <s:v>0.0</s:v>
      </s:c>
      <s:c r="E5" s="4">
        <s:f>Assumptions!E7</s:f>
        <s:v>0.0</s:v>
      </s:c>
      <s:c r="F5" s="4">
        <s:f>Assumptions!F7</s:f>
        <s:v>0.0</s:v>
      </s:c>
      <s:c r="G5" s="4">
        <s:f>Assumptions!G7</s:f>
        <s:v>0.01</s:v>
      </s:c>
      <s:c r="H5" s="4">
        <s:f>Assumptions!H7</s:f>
        <s:v>0.02</s:v>
      </s:c>
      <s:c r="I5" s="4">
        <s:f>Assumptions!I7</s:f>
        <s:v>0.03000000000000001</s:v>
      </s:c>
      <s:c r="J5" s="4">
        <s:f>Assumptions!J7</s:f>
        <s:v>0.04</s:v>
      </s:c>
      <s:c r="K5" s="4">
        <s:f>Assumptions!K7</s:f>
        <s:v>0.05</s:v>
      </s:c>
    </s:row>
    <s:row r="6">
      <s:c r="A6" s="2" t="inlineStr">
        <s:is>
          <s:t>depreciation</s:t>
        </s:is>
      </s:c>
      <s:c r="B6" s="4">
        <s:f>(Assumptions!B8*B45)</s:f>
        <s:v>387.40000000000003</s:v>
      </s:c>
      <s:c r="C6" s="4">
        <s:f>(Assumptions!B8*C45)</s:f>
        <s:v>503.62000000000006</s:v>
      </s:c>
      <s:c r="D6" s="4">
        <s:f>(Assumptions!B8*D45)</s:f>
        <s:v>654.7060000000001</s:v>
      </s:c>
      <s:c r="E6" s="4">
        <s:f>(Assumptions!B8*E45)</s:f>
        <s:v>851.1178000000003</s:v>
      </s:c>
      <s:c r="F6" s="4">
        <s:f>(Assumptions!B8*F45)</s:f>
        <s:v>1106.4531400000003</s:v>
      </s:c>
      <s:c r="G6" s="4">
        <s:f>(Assumptions!B8*G45)</s:f>
        <s:v>1385.2793312800004</s:v>
      </s:c>
      <s:c r="H6" s="4">
        <s:f>(Assumptions!B8*H45)</s:f>
        <s:v>1667.8763148611204</s:v>
      </s:c>
      <s:c r="I6" s="4">
        <s:f>(Assumptions!B8*I45)</s:f>
        <s:v>1928.065019979455</s:v>
      </s:c>
      <s:c r="J6" s="4">
        <s:f>(Assumptions!B8*J45)</s:f>
        <s:v>2136.2960421372363</s:v>
      </s:c>
      <s:c r="K6" s="4">
        <s:f>(Assumptions!B8*K45)</s:f>
        <s:v>2264.4738046654707</s:v>
      </s:c>
    </s:row>
    <s:row r="7">
      <s:c r="A7" s="2" t="inlineStr">
        <s:is>
          <s:t>depreciation10</s:t>
        </s:is>
      </s:c>
      <s:c r="B7" s="5">
        <s:f>(B12*(1+B14))</s:f>
        <s:v>2264.473804665471</s:v>
      </s:c>
      <s:c r="C7" s="5">
        <s:f>(C12*(1+C14))</s:f>
        <s:v>2264.473804665471</s:v>
      </s:c>
      <s:c r="D7" s="5">
        <s:f>(D12*(1+D14))</s:f>
        <s:v>2264.473804665471</s:v>
      </s:c>
      <s:c r="E7" s="5">
        <s:f>(E12*(1+E14))</s:f>
        <s:v>2264.473804665471</s:v>
      </s:c>
      <s:c r="F7" s="5">
        <s:f>(F12*(1+F14))</s:f>
        <s:v>2264.473804665471</s:v>
      </s:c>
      <s:c r="G7" s="5">
        <s:f>(G12*(1+G14))</s:f>
        <s:v>2264.473804665471</s:v>
      </s:c>
      <s:c r="H7" s="5">
        <s:f>(H12*(1+H14))</s:f>
        <s:v>2264.473804665471</s:v>
      </s:c>
      <s:c r="I7" s="5">
        <s:f>(I12*(1+I14))</s:f>
        <s:v>2264.473804665471</s:v>
      </s:c>
      <s:c r="J7" s="5">
        <s:f>(J12*(1+J14))</s:f>
        <s:v>2264.473804665471</s:v>
      </s:c>
      <s:c r="K7" s="5">
        <s:f>(K12*(1+K14))</s:f>
        <s:v>2264.473804665471</s:v>
      </s:c>
    </s:row>
    <s:row r="8">
      <s:c r="A8" s="2" t="inlineStr">
        <s:is>
          <s:t>depreciation5</s:t>
        </s:is>
      </s:c>
      <s:c r="B8" s="4">
        <s:f>(((((Assumptions!B8*(1+Assumptions!B4))*(1+Assumptions!B4))*(1+Assumptions!B4))*(1+Assumptions!B4))*(1+Assumptions!B4))</s:f>
        <s:v>1106.4531400000003</s:v>
      </s:c>
      <s:c r="C8" s="4">
        <s:f>(((((Assumptions!C8*(1+Assumptions!C4))*(1+Assumptions!C4))*(1+Assumptions!C4))*(1+Assumptions!C4))*(1+Assumptions!C4))</s:f>
        <s:v>1106.4531400000003</s:v>
      </s:c>
      <s:c r="D8" s="4">
        <s:f>(((((Assumptions!D8*(1+Assumptions!D4))*(1+Assumptions!D4))*(1+Assumptions!D4))*(1+Assumptions!D4))*(1+Assumptions!D4))</s:f>
        <s:v>1106.4531400000003</s:v>
      </s:c>
      <s:c r="E8" s="4">
        <s:f>(((((Assumptions!E8*(1+Assumptions!E4))*(1+Assumptions!E4))*(1+Assumptions!E4))*(1+Assumptions!E4))*(1+Assumptions!E4))</s:f>
        <s:v>1106.4531400000003</s:v>
      </s:c>
      <s:c r="F8" s="4">
        <s:f>(((((Assumptions!F8*(1+Assumptions!F4))*(1+Assumptions!F4))*(1+Assumptions!F4))*(1+Assumptions!F4))*(1+Assumptions!F4))</s:f>
        <s:v>1106.4531400000003</s:v>
      </s:c>
      <s:c r="G8" s="4">
        <s:f>(((((Assumptions!G8*(1+Assumptions!G4))*(1+Assumptions!G4))*(1+Assumptions!G4))*(1+Assumptions!G4))*(1+Assumptions!G4))</s:f>
        <s:v>1106.4531400000003</s:v>
      </s:c>
      <s:c r="H8" s="4">
        <s:f>(((((Assumptions!H8*(1+Assumptions!H4))*(1+Assumptions!H4))*(1+Assumptions!H4))*(1+Assumptions!H4))*(1+Assumptions!H4))</s:f>
        <s:v>1106.4531400000003</s:v>
      </s:c>
      <s:c r="I8" s="4">
        <s:f>(((((Assumptions!I8*(1+Assumptions!I4))*(1+Assumptions!I4))*(1+Assumptions!I4))*(1+Assumptions!I4))*(1+Assumptions!I4))</s:f>
        <s:v>1106.4531400000003</s:v>
      </s:c>
      <s:c r="J8" s="4">
        <s:f>(((((Assumptions!J8*(1+Assumptions!J4))*(1+Assumptions!J4))*(1+Assumptions!J4))*(1+Assumptions!J4))*(1+Assumptions!J4))</s:f>
        <s:v>1106.4531400000003</s:v>
      </s:c>
      <s:c r="K8" s="4">
        <s:f>(((((Assumptions!K8*(1+Assumptions!K4))*(1+Assumptions!K4))*(1+Assumptions!K4))*(1+Assumptions!K4))*(1+Assumptions!K4))</s:f>
        <s:v>1106.4531400000003</s:v>
      </s:c>
    </s:row>
    <s:row r="9">
      <s:c r="A9" s="2" t="inlineStr">
        <s:is>
          <s:t>depreciation6</s:t>
        </s:is>
      </s:c>
      <s:c r="B9" s="5">
        <s:f>(B8*(1+B15))</s:f>
        <s:v>1385.2793312800004</s:v>
      </s:c>
      <s:c r="C9" s="5">
        <s:f>(C8*(1+C15))</s:f>
        <s:v>1385.2793312800004</s:v>
      </s:c>
      <s:c r="D9" s="5">
        <s:f>(D8*(1+D15))</s:f>
        <s:v>1385.2793312800004</s:v>
      </s:c>
      <s:c r="E9" s="5">
        <s:f>(E8*(1+E15))</s:f>
        <s:v>1385.2793312800004</s:v>
      </s:c>
      <s:c r="F9" s="5">
        <s:f>(F8*(1+F15))</s:f>
        <s:v>1385.2793312800004</s:v>
      </s:c>
      <s:c r="G9" s="5">
        <s:f>(G8*(1+G15))</s:f>
        <s:v>1385.2793312800004</s:v>
      </s:c>
      <s:c r="H9" s="5">
        <s:f>(H8*(1+H15))</s:f>
        <s:v>1385.2793312800004</s:v>
      </s:c>
      <s:c r="I9" s="5">
        <s:f>(I8*(1+I15))</s:f>
        <s:v>1385.2793312800004</s:v>
      </s:c>
      <s:c r="J9" s="5">
        <s:f>(J8*(1+J15))</s:f>
        <s:v>1385.2793312800004</s:v>
      </s:c>
      <s:c r="K9" s="5">
        <s:f>(K8*(1+K15))</s:f>
        <s:v>1385.2793312800004</s:v>
      </s:c>
    </s:row>
    <s:row r="10">
      <s:c r="A10" s="2" t="inlineStr">
        <s:is>
          <s:t>depreciation7</s:t>
        </s:is>
      </s:c>
      <s:c r="B10" s="5">
        <s:f>(B9*(1+B16))</s:f>
        <s:v>1667.8763148611204</s:v>
      </s:c>
      <s:c r="C10" s="5">
        <s:f>(C9*(1+C16))</s:f>
        <s:v>1667.8763148611204</s:v>
      </s:c>
      <s:c r="D10" s="5">
        <s:f>(D9*(1+D16))</s:f>
        <s:v>1667.8763148611204</s:v>
      </s:c>
      <s:c r="E10" s="5">
        <s:f>(E9*(1+E16))</s:f>
        <s:v>1667.8763148611204</s:v>
      </s:c>
      <s:c r="F10" s="5">
        <s:f>(F9*(1+F16))</s:f>
        <s:v>1667.8763148611204</s:v>
      </s:c>
      <s:c r="G10" s="5">
        <s:f>(G9*(1+G16))</s:f>
        <s:v>1667.8763148611204</s:v>
      </s:c>
      <s:c r="H10" s="5">
        <s:f>(H9*(1+H16))</s:f>
        <s:v>1667.8763148611204</s:v>
      </s:c>
      <s:c r="I10" s="5">
        <s:f>(I9*(1+I16))</s:f>
        <s:v>1667.8763148611204</s:v>
      </s:c>
      <s:c r="J10" s="5">
        <s:f>(J9*(1+J16))</s:f>
        <s:v>1667.8763148611204</s:v>
      </s:c>
      <s:c r="K10" s="5">
        <s:f>(K9*(1+K16))</s:f>
        <s:v>1667.8763148611204</s:v>
      </s:c>
    </s:row>
    <s:row r="11">
      <s:c r="A11" s="2" t="inlineStr">
        <s:is>
          <s:t>depreciation8</s:t>
        </s:is>
      </s:c>
      <s:c r="B11" s="5">
        <s:f>(B10*(1+B17))</s:f>
        <s:v>1928.0650199794554</s:v>
      </s:c>
      <s:c r="C11" s="5">
        <s:f>(C10*(1+C17))</s:f>
        <s:v>1928.0650199794554</s:v>
      </s:c>
      <s:c r="D11" s="5">
        <s:f>(D10*(1+D17))</s:f>
        <s:v>1928.0650199794554</s:v>
      </s:c>
      <s:c r="E11" s="5">
        <s:f>(E10*(1+E17))</s:f>
        <s:v>1928.0650199794554</s:v>
      </s:c>
      <s:c r="F11" s="5">
        <s:f>(F10*(1+F17))</s:f>
        <s:v>1928.0650199794554</s:v>
      </s:c>
      <s:c r="G11" s="5">
        <s:f>(G10*(1+G17))</s:f>
        <s:v>1928.0650199794554</s:v>
      </s:c>
      <s:c r="H11" s="5">
        <s:f>(H10*(1+H17))</s:f>
        <s:v>1928.0650199794554</s:v>
      </s:c>
      <s:c r="I11" s="5">
        <s:f>(I10*(1+I17))</s:f>
        <s:v>1928.0650199794554</s:v>
      </s:c>
      <s:c r="J11" s="5">
        <s:f>(J10*(1+J17))</s:f>
        <s:v>1928.0650199794554</s:v>
      </s:c>
      <s:c r="K11" s="5">
        <s:f>(K10*(1+K17))</s:f>
        <s:v>1928.0650199794554</s:v>
      </s:c>
    </s:row>
    <s:row r="12">
      <s:c r="A12" s="2" t="inlineStr">
        <s:is>
          <s:t>depreciation9</s:t>
        </s:is>
      </s:c>
      <s:c r="B12" s="5">
        <s:f>(B11*(1+B18))</s:f>
        <s:v>2136.296042137237</s:v>
      </s:c>
      <s:c r="C12" s="5">
        <s:f>(C11*(1+C18))</s:f>
        <s:v>2136.296042137237</s:v>
      </s:c>
      <s:c r="D12" s="5">
        <s:f>(D11*(1+D18))</s:f>
        <s:v>2136.296042137237</s:v>
      </s:c>
      <s:c r="E12" s="5">
        <s:f>(E11*(1+E18))</s:f>
        <s:v>2136.296042137237</s:v>
      </s:c>
      <s:c r="F12" s="5">
        <s:f>(F11*(1+F18))</s:f>
        <s:v>2136.296042137237</s:v>
      </s:c>
      <s:c r="G12" s="5">
        <s:f>(G11*(1+G18))</s:f>
        <s:v>2136.296042137237</s:v>
      </s:c>
      <s:c r="H12" s="5">
        <s:f>(H11*(1+H18))</s:f>
        <s:v>2136.296042137237</s:v>
      </s:c>
      <s:c r="I12" s="5">
        <s:f>(I11*(1+I18))</s:f>
        <s:v>2136.296042137237</s:v>
      </s:c>
      <s:c r="J12" s="5">
        <s:f>(J11*(1+J18))</s:f>
        <s:v>2136.296042137237</s:v>
      </s:c>
      <s:c r="K12" s="5">
        <s:f>(K11*(1+K18))</s:f>
        <s:v>2136.296042137237</s:v>
      </s:c>
    </s:row>
    <s:row r="13">
      <s:c r="A13" s="2" t="inlineStr">
        <s:is>
          <s:t>depreciation_growth</s:t>
        </s:is>
      </s:c>
      <s:c r="B13" s="4">
        <s:f>Assumptions!B9</s:f>
        <s:v>0.3</s:v>
      </s:c>
      <s:c r="C13" s="4">
        <s:f>Assumptions!C9</s:f>
        <s:v>0.3</s:v>
      </s:c>
      <s:c r="D13" s="4">
        <s:f>Assumptions!D9</s:f>
        <s:v>0.3</s:v>
      </s:c>
      <s:c r="E13" s="4">
        <s:f>Assumptions!E9</s:f>
        <s:v>0.3</s:v>
      </s:c>
      <s:c r="F13" s="4">
        <s:f>Assumptions!F9</s:f>
        <s:v>0.3</s:v>
      </s:c>
      <s:c r="G13" s="4">
        <s:f>Assumptions!G9</s:f>
        <s:v>0.252</s:v>
      </s:c>
      <s:c r="H13" s="4">
        <s:f>Assumptions!H9</s:f>
        <s:v>0.204</s:v>
      </s:c>
      <s:c r="I13" s="4">
        <s:f>Assumptions!I9</s:f>
        <s:v>0.156</s:v>
      </s:c>
      <s:c r="J13" s="4">
        <s:f>Assumptions!J9</s:f>
        <s:v>0.108</s:v>
      </s:c>
      <s:c r="K13" s="4">
        <s:f>Assumptions!K9</s:f>
        <s:v>0.06</s:v>
      </s:c>
    </s:row>
    <s:row r="14">
      <s:c r="A14" s="2" t="inlineStr">
        <s:is>
          <s:t>depreciation_growth10</s:t>
        </s:is>
      </s:c>
      <s:c r="B14" s="5">
        <s:f>(B18-B19)</s:f>
        <s:v>0.060000000000000026</s:v>
      </s:c>
      <s:c r="C14" s="5">
        <s:f>(C18-C19)</s:f>
        <s:v>0.060000000000000026</s:v>
      </s:c>
      <s:c r="D14" s="5">
        <s:f>(D18-D19)</s:f>
        <s:v>0.060000000000000026</s:v>
      </s:c>
      <s:c r="E14" s="5">
        <s:f>(E18-E19)</s:f>
        <s:v>0.060000000000000026</s:v>
      </s:c>
      <s:c r="F14" s="5">
        <s:f>(F18-F19)</s:f>
        <s:v>0.060000000000000026</s:v>
      </s:c>
      <s:c r="G14" s="5">
        <s:f>(G18-G19)</s:f>
        <s:v>0.060000000000000026</s:v>
      </s:c>
      <s:c r="H14" s="5">
        <s:f>(H18-H19)</s:f>
        <s:v>0.060000000000000026</s:v>
      </s:c>
      <s:c r="I14" s="5">
        <s:f>(I18-I19)</s:f>
        <s:v>0.060000000000000026</s:v>
      </s:c>
      <s:c r="J14" s="5">
        <s:f>(J18-J19)</s:f>
        <s:v>0.060000000000000026</s:v>
      </s:c>
      <s:c r="K14" s="5">
        <s:f>(K18-K19)</s:f>
        <s:v>0.060000000000000026</s:v>
      </s:c>
    </s:row>
    <s:row r="15">
      <s:c r="A15" s="2" t="inlineStr">
        <s:is>
          <s:t>depreciation_growth6</s:t>
        </s:is>
      </s:c>
      <s:c r="B15" s="4">
        <s:f>(Assumptions!B4-B19)</s:f>
        <s:v>0.252</s:v>
      </s:c>
      <s:c r="C15" s="4">
        <s:f>(Assumptions!C4-C19)</s:f>
        <s:v>0.252</s:v>
      </s:c>
      <s:c r="D15" s="4">
        <s:f>(Assumptions!D4-D19)</s:f>
        <s:v>0.252</s:v>
      </s:c>
      <s:c r="E15" s="4">
        <s:f>(Assumptions!E4-E19)</s:f>
        <s:v>0.252</s:v>
      </s:c>
      <s:c r="F15" s="4">
        <s:f>(Assumptions!F4-F19)</s:f>
        <s:v>0.252</s:v>
      </s:c>
      <s:c r="G15" s="4">
        <s:f>(Assumptions!G4-G19)</s:f>
        <s:v>0.252</s:v>
      </s:c>
      <s:c r="H15" s="4">
        <s:f>(Assumptions!H4-H19)</s:f>
        <s:v>0.252</s:v>
      </s:c>
      <s:c r="I15" s="4">
        <s:f>(Assumptions!I4-I19)</s:f>
        <s:v>0.252</s:v>
      </s:c>
      <s:c r="J15" s="4">
        <s:f>(Assumptions!J4-J19)</s:f>
        <s:v>0.252</s:v>
      </s:c>
      <s:c r="K15" s="4">
        <s:f>(Assumptions!K4-K19)</s:f>
        <s:v>0.252</s:v>
      </s:c>
    </s:row>
    <s:row r="16">
      <s:c r="A16" s="2" t="inlineStr">
        <s:is>
          <s:t>depreciation_growth7</s:t>
        </s:is>
      </s:c>
      <s:c r="B16" s="5">
        <s:f>(B15-B19)</s:f>
        <s:v>0.20400000000000001</s:v>
      </s:c>
      <s:c r="C16" s="5">
        <s:f>(C15-C19)</s:f>
        <s:v>0.20400000000000001</s:v>
      </s:c>
      <s:c r="D16" s="5">
        <s:f>(D15-D19)</s:f>
        <s:v>0.20400000000000001</s:v>
      </s:c>
      <s:c r="E16" s="5">
        <s:f>(E15-E19)</s:f>
        <s:v>0.20400000000000001</s:v>
      </s:c>
      <s:c r="F16" s="5">
        <s:f>(F15-F19)</s:f>
        <s:v>0.20400000000000001</s:v>
      </s:c>
      <s:c r="G16" s="5">
        <s:f>(G15-G19)</s:f>
        <s:v>0.20400000000000001</s:v>
      </s:c>
      <s:c r="H16" s="5">
        <s:f>(H15-H19)</s:f>
        <s:v>0.20400000000000001</s:v>
      </s:c>
      <s:c r="I16" s="5">
        <s:f>(I15-I19)</s:f>
        <s:v>0.20400000000000001</s:v>
      </s:c>
      <s:c r="J16" s="5">
        <s:f>(J15-J19)</s:f>
        <s:v>0.20400000000000001</s:v>
      </s:c>
      <s:c r="K16" s="5">
        <s:f>(K15-K19)</s:f>
        <s:v>0.20400000000000001</s:v>
      </s:c>
    </s:row>
    <s:row r="17">
      <s:c r="A17" s="2" t="inlineStr">
        <s:is>
          <s:t>depreciation_growth8</s:t>
        </s:is>
      </s:c>
      <s:c r="B17" s="5">
        <s:f>(B16-B19)</s:f>
        <s:v>0.15600000000000003</s:v>
      </s:c>
      <s:c r="C17" s="5">
        <s:f>(C16-C19)</s:f>
        <s:v>0.15600000000000003</s:v>
      </s:c>
      <s:c r="D17" s="5">
        <s:f>(D16-D19)</s:f>
        <s:v>0.15600000000000003</s:v>
      </s:c>
      <s:c r="E17" s="5">
        <s:f>(E16-E19)</s:f>
        <s:v>0.15600000000000003</s:v>
      </s:c>
      <s:c r="F17" s="5">
        <s:f>(F16-F19)</s:f>
        <s:v>0.15600000000000003</s:v>
      </s:c>
      <s:c r="G17" s="5">
        <s:f>(G16-G19)</s:f>
        <s:v>0.15600000000000003</s:v>
      </s:c>
      <s:c r="H17" s="5">
        <s:f>(H16-H19)</s:f>
        <s:v>0.15600000000000003</s:v>
      </s:c>
      <s:c r="I17" s="5">
        <s:f>(I16-I19)</s:f>
        <s:v>0.15600000000000003</s:v>
      </s:c>
      <s:c r="J17" s="5">
        <s:f>(J16-J19)</s:f>
        <s:v>0.15600000000000003</s:v>
      </s:c>
      <s:c r="K17" s="5">
        <s:f>(K16-K19)</s:f>
        <s:v>0.15600000000000003</s:v>
      </s:c>
    </s:row>
    <s:row r="18">
      <s:c r="A18" s="2" t="inlineStr">
        <s:is>
          <s:t>depreciation_growth9</s:t>
        </s:is>
      </s:c>
      <s:c r="B18" s="5">
        <s:f>(B17-B19)</s:f>
        <s:v>0.10800000000000003</s:v>
      </s:c>
      <s:c r="C18" s="5">
        <s:f>(C17-C19)</s:f>
        <s:v>0.10800000000000003</s:v>
      </s:c>
      <s:c r="D18" s="5">
        <s:f>(D17-D19)</s:f>
        <s:v>0.10800000000000003</s:v>
      </s:c>
      <s:c r="E18" s="5">
        <s:f>(E17-E19)</s:f>
        <s:v>0.10800000000000003</s:v>
      </s:c>
      <s:c r="F18" s="5">
        <s:f>(F17-F19)</s:f>
        <s:v>0.10800000000000003</s:v>
      </s:c>
      <s:c r="G18" s="5">
        <s:f>(G17-G19)</s:f>
        <s:v>0.10800000000000003</s:v>
      </s:c>
      <s:c r="H18" s="5">
        <s:f>(H17-H19)</s:f>
        <s:v>0.10800000000000003</s:v>
      </s:c>
      <s:c r="I18" s="5">
        <s:f>(I17-I19)</s:f>
        <s:v>0.10800000000000003</s:v>
      </s:c>
      <s:c r="J18" s="5">
        <s:f>(J17-J19)</s:f>
        <s:v>0.10800000000000003</s:v>
      </s:c>
      <s:c r="K18" s="5">
        <s:f>(K17-K19)</s:f>
        <s:v>0.10800000000000003</s:v>
      </s:c>
    </s:row>
    <s:row r="19">
      <s:c r="A19" s="2" t="inlineStr">
        <s:is>
          <s:t>depreciation_step</s:t>
        </s:is>
      </s:c>
      <s:c r="B19" s="4">
        <s:f>((Assumptions!B4-Assumptions!B16)/Assumptions!B21)</s:f>
        <s:v>0.048</s:v>
      </s:c>
      <s:c r="C19" s="4">
        <s:f>((Assumptions!C4-Assumptions!C16)/Assumptions!C21)</s:f>
        <s:v>0.048</s:v>
      </s:c>
      <s:c r="D19" s="4">
        <s:f>((Assumptions!D4-Assumptions!D16)/Assumptions!D21)</s:f>
        <s:v>0.048</s:v>
      </s:c>
      <s:c r="E19" s="4">
        <s:f>((Assumptions!E4-Assumptions!E16)/Assumptions!E21)</s:f>
        <s:v>0.048</s:v>
      </s:c>
      <s:c r="F19" s="4">
        <s:f>((Assumptions!F4-Assumptions!F16)/Assumptions!F21)</s:f>
        <s:v>0.048</s:v>
      </s:c>
      <s:c r="G19" s="4">
        <s:f>((Assumptions!G4-Assumptions!G16)/Assumptions!G21)</s:f>
        <s:v>0.048</s:v>
      </s:c>
      <s:c r="H19" s="4">
        <s:f>((Assumptions!H4-Assumptions!H16)/Assumptions!H21)</s:f>
        <s:v>0.048</s:v>
      </s:c>
      <s:c r="I19" s="4">
        <s:f>((Assumptions!I4-Assumptions!I16)/Assumptions!I21)</s:f>
        <s:v>0.048</s:v>
      </s:c>
      <s:c r="J19" s="4">
        <s:f>((Assumptions!J4-Assumptions!J16)/Assumptions!J21)</s:f>
        <s:v>0.048</s:v>
      </s:c>
      <s:c r="K19" s="4">
        <s:f>((Assumptions!K4-Assumptions!K16)/Assumptions!K21)</s:f>
        <s:v>0.048</s:v>
      </s:c>
    </s:row>
    <s:row r="20">
      <s:c r="A20" s="2" t="inlineStr">
        <s:is>
          <s:t>discount_factor</s:t>
        </s:is>
      </s:c>
      <s:c r="B20" s="5">
        <s:f>(1*B46)</s:f>
        <s:v>1.13375</s:v>
      </s:c>
      <s:c r="C20" s="5">
        <s:f>(1*C46)</s:f>
        <s:v>1.2853890625000002</s:v>
      </s:c>
      <s:c r="D20" s="5">
        <s:f>(1*D46)</s:f>
        <s:v>1.4573098496093753</s:v>
      </s:c>
      <s:c r="E20" s="5">
        <s:f>(1*E46)</s:f>
        <s:v>1.6522250419946292</s:v>
      </s:c>
      <s:c r="F20" s="5">
        <s:f>(1*F46)</s:f>
        <s:v>1.8732101413614108</s:v>
      </s:c>
      <s:c r="G20" s="5">
        <s:f>(1*G46)</s:f>
        <s:v>2.119181739665606</s:v>
      </s:c>
      <s:c r="H20" s="5">
        <s:f>(1*H46)</s:f>
        <s:v>2.392297220073882</s:v>
      </s:c>
      <s:c r="I20" s="5">
        <s:f>(1*I46)</s:f>
        <s:v>2.6948099019844407</s:v>
      </s:c>
      <s:c r="J20" s="5">
        <s:f>(1*J46)</s:f>
        <s:v>3.029061187139061</s:v>
      </s:c>
      <s:c r="K20" s="5">
        <s:f>(1*K46)</s:f>
        <s:v>3.39747075402485</s:v>
      </s:c>
    </s:row>
    <s:row r="21">
      <s:c r="A21" s="2" t="inlineStr">
        <s:is>
          <s:t>ebit</s:t>
        </s:is>
      </s:c>
      <s:c r="B21" s="4">
        <s:f>(B25*Assumptions!B11)</s:f>
        <s:v>1856.8679999999997</s:v>
      </s:c>
      <s:c r="C21" s="4">
        <s:f>(C25*Assumptions!C11)</s:f>
        <s:v>3382.9068000000007</s:v>
      </s:c>
      <s:c r="D21" s="4">
        <s:f>(D25*Assumptions!D11)</s:f>
        <s:v>5657.45076</s:v>
      </s:c>
      <s:c r="E21" s="4">
        <s:f>(E25*Assumptions!E11)</s:f>
        <s:v>8992.259484</s:v>
      </s:c>
      <s:c r="F21" s="4">
        <s:f>(F25*Assumptions!F11)</s:f>
        <s:v>13818.782874</s:v>
      </s:c>
      <s:c r="G21" s="4">
        <s:f>(G25*Assumptions!G11)</s:f>
        <s:v>16724.412286306404</s:v>
      </s:c>
      <s:c r="H21" s="4">
        <s:f>(H25*Assumptions!H11)</s:f>
        <s:v>19441.84093089523</s:v>
      </s:c>
      <s:c r="I21" s="4">
        <s:f>(I25*Assumptions!I11)</s:f>
        <s:v>21672.09782625363</s:v>
      </s:c>
      <s:c r="J21" s="4">
        <s:f>(J25*Assumptions!J11)</s:f>
        <s:v>23123.325710322766</s:v>
      </s:c>
      <s:c r="K21" s="4">
        <s:f>(K25*Assumptions!K11)</s:f>
        <s:v>23568.005050905896</s:v>
      </s:c>
    </s:row>
    <s:row r="22">
      <s:c r="A22" s="2" t="inlineStr">
        <s:is>
          <s:t>fcff</s:t>
        </s:is>
      </s:c>
      <s:c r="B22" s="5">
        <s:f>(((B23+B6)-B3)-B43)</s:f>
        <s:v>993.7605199999998</s:v>
      </s:c>
      <s:c r="C22" s="5">
        <s:f>(((C23+C6)-C3)-C43)</s:f>
        <s:v>1912.0348520000002</s:v>
      </s:c>
      <s:c r="D22" s="5">
        <s:f>(((D23+D6)-D3)-D43)</s:f>
        <s:v>3291.8353364</s:v>
      </s:c>
      <s:c r="E22" s="5">
        <s:f>(((E23+E6)-E3)-E43)</s:f>
        <s:v>5327.4329747599995</s:v>
      </s:c>
      <s:c r="F22" s="5">
        <s:f>(((F23+F6)-F3)-F43)</s:f>
        <s:v>8288.12401586</s:v>
      </s:c>
      <s:c r="G22" s="5">
        <s:f>(((G23+G6)-G3)-G43)</s:f>
        <s:v>8645.02491856799</s:v>
      </s:c>
      <s:c r="H22" s="5">
        <s:f>(((H23+H6)-H3)-H43)</s:f>
        <s:v>8946.820366791198</s:v>
      </s:c>
      <s:c r="I22" s="5">
        <s:f>(((I23+I6)-I3)-I43)</s:f>
        <s:v>8996.15693379676</s:v>
      </s:c>
      <s:c r="J22" s="5">
        <s:f>(((J23+J6)-J3)-J43)</s:f>
        <s:v>8587.219812411762</s:v>
      </s:c>
      <s:c r="K22" s="5">
        <s:f>(((K23+K6)-K3)-K43)</s:f>
        <s:v>7541.761616289885</s:v>
      </s:c>
    </s:row>
    <s:row r="23">
      <s:c r="A23" s="2" t="inlineStr">
        <s:is>
          <s:t>nopat</s:t>
        </s:is>
      </s:c>
      <s:c r="B23" s="4">
        <s:f>(B21*(1-Assumptions!B19))</s:f>
        <s:v>1188.3955199999998</s:v>
      </s:c>
      <s:c r="C23" s="4">
        <s:f>(C21*(1-Assumptions!C19))</s:f>
        <s:v>2165.0603520000004</s:v>
      </s:c>
      <s:c r="D23" s="4">
        <s:f>(D21*(1-Assumptions!D19))</s:f>
        <s:v>3620.7684864</s:v>
      </s:c>
      <s:c r="E23" s="4">
        <s:f>(E21*(1-Assumptions!E19))</s:f>
        <s:v>5755.04606976</s:v>
      </s:c>
      <s:c r="F23" s="4">
        <s:f>(F21*(1-Assumptions!F19))</s:f>
        <s:v>8844.021039360001</s:v>
      </s:c>
      <s:c r="G23" s="4">
        <s:f>(G21*(1-Assumptions!G19))</s:f>
        <s:v>10703.623863236098</s:v>
      </s:c>
      <s:c r="H23" s="4">
        <s:f>(H21*(1-Assumptions!H19))</s:f>
        <s:v>12442.778195772946</s:v>
      </s:c>
      <s:c r="I23" s="4">
        <s:f>(I21*(1-Assumptions!I19))</s:f>
        <s:v>13870.142608802324</s:v>
      </s:c>
      <s:c r="J23" s="4">
        <s:f>(J21*(1-Assumptions!J19))</s:f>
        <s:v>14798.92845460657</s:v>
      </s:c>
      <s:c r="K23" s="4">
        <s:f>(K21*(1-Assumptions!K19))</s:f>
        <s:v>15083.523232579773</s:v>
      </s:c>
    </s:row>
    <s:row r="24">
      <s:c r="A24" s="2" t="inlineStr">
        <s:is>
          <s:t>pv_fcff</s:t>
        </s:is>
      </s:c>
      <s:c r="B24" s="5">
        <s:f>(B22/B20)</s:f>
        <s:v>876.5252657111354</s:v>
      </s:c>
      <s:c r="C24" s="5">
        <s:f>(C22/C20)</s:f>
        <s:v>1487.5144870777208</s:v>
      </s:c>
      <s:c r="D24" s="5">
        <s:f>(D22/D20)</s:f>
        <s:v>2258.84381230413</s:v>
      </s:c>
      <s:c r="E24" s="5">
        <s:f>(E22/E20)</s:f>
        <s:v>3224.3991220036946</s:v>
      </s:c>
      <s:c r="F24" s="5">
        <s:f>(F22/F20)</s:f>
        <s:v>4424.55645143815</s:v>
      </s:c>
      <s:c r="G24" s="5">
        <s:f>(G22/G20)</s:f>
        <s:v>4079.4164826713363</s:v>
      </s:c>
      <s:c r="H24" s="5">
        <s:f>(H22/H20)</s:f>
        <s:v>3739.8448201661545</s:v>
      </s:c>
      <s:c r="I24" s="5">
        <s:f>(I22/I20)</s:f>
        <s:v>3338.327103211268</s:v>
      </s:c>
      <s:c r="J24" s="5">
        <s:f>(J22/J20)</s:f>
        <s:v>2834.944321650486</s:v>
      </s:c>
      <s:c r="K24" s="5">
        <s:f>(K22/K20)</s:f>
        <s:v>2219.816493594671</s:v>
      </s:c>
    </s:row>
    <s:row r="25">
      <s:c r="A25" s="2" t="inlineStr">
        <s:is>
          <s:t>revenue</s:t>
        </s:is>
      </s:c>
      <s:c r="B25" s="4">
        <s:f>(Assumptions!B12*B47)</s:f>
        <s:v>16127.800000000001</s:v>
      </s:c>
      <s:c r="C25" s="4">
        <s:f>(Assumptions!B12*C47)</s:f>
        <s:v>20966.140000000003</s:v>
      </s:c>
      <s:c r="D25" s="4">
        <s:f>(Assumptions!B12*D47)</s:f>
        <s:v>27255.982000000007</s:v>
      </s:c>
      <s:c r="E25" s="4">
        <s:f>(Assumptions!B12*E47)</s:f>
        <s:v>35432.77660000001</s:v>
      </s:c>
      <s:c r="F25" s="4">
        <s:f>(Assumptions!B12*F47)</s:f>
        <s:v>46062.60958000002</s:v>
      </s:c>
      <s:c r="G25" s="4">
        <s:f>(Assumptions!B12*G47)</s:f>
        <s:v>57670.387194160015</s:v>
      </s:c>
      <s:c r="H25" s="4">
        <s:f>(Assumptions!B12*H47)</s:f>
        <s:v>69435.14618176866</s:v>
      </s:c>
      <s:c r="I25" s="4">
        <s:f>(Assumptions!B12*I47)</s:f>
        <s:v>80267.02898612455</s:v>
      </s:c>
      <s:c r="J25" s="4">
        <s:f>(Assumptions!B12*J47)</s:f>
        <s:v>88935.86811662602</s:v>
      </s:c>
      <s:c r="K25" s="4">
        <s:f>(Assumptions!B12*K47)</s:f>
        <s:v>94272.02020362359</s:v>
      </s:c>
    </s:row>
    <s:row r="26">
      <s:c r="A26" s="2" t="inlineStr">
        <s:is>
          <s:t>revenue10</s:t>
        </s:is>
      </s:c>
      <s:c r="B26" s="5">
        <s:f>(B31*(1+B33))</s:f>
        <s:v>94272.0202036236</s:v>
      </s:c>
      <s:c r="C26" s="5">
        <s:f>(C31*(1+C33))</s:f>
        <s:v>94272.0202036236</s:v>
      </s:c>
      <s:c r="D26" s="5">
        <s:f>(D31*(1+D33))</s:f>
        <s:v>94272.0202036236</s:v>
      </s:c>
      <s:c r="E26" s="5">
        <s:f>(E31*(1+E33))</s:f>
        <s:v>94272.0202036236</s:v>
      </s:c>
      <s:c r="F26" s="5">
        <s:f>(F31*(1+F33))</s:f>
        <s:v>94272.0202036236</s:v>
      </s:c>
      <s:c r="G26" s="5">
        <s:f>(G31*(1+G33))</s:f>
        <s:v>94272.0202036236</s:v>
      </s:c>
      <s:c r="H26" s="5">
        <s:f>(H31*(1+H33))</s:f>
        <s:v>94272.0202036236</s:v>
      </s:c>
      <s:c r="I26" s="5">
        <s:f>(I31*(1+I33))</s:f>
        <s:v>94272.0202036236</s:v>
      </s:c>
      <s:c r="J26" s="5">
        <s:f>(J31*(1+J33))</s:f>
        <s:v>94272.0202036236</s:v>
      </s:c>
      <s:c r="K26" s="5">
        <s:f>(K31*(1+K33))</s:f>
        <s:v>94272.0202036236</s:v>
      </s:c>
    </s:row>
    <s:row r="27">
      <s:c r="A27" s="2" t="inlineStr">
        <s:is>
          <s:t>revenue5</s:t>
        </s:is>
      </s:c>
      <s:c r="B27" s="4">
        <s:f>(((((Assumptions!B12*(1+Assumptions!B10))*(1+Assumptions!B10))*(1+Assumptions!B10))*(1+Assumptions!B10))*(1+Assumptions!B10))</s:f>
        <s:v>46062.60958000001</s:v>
      </s:c>
      <s:c r="C27" s="4">
        <s:f>(((((Assumptions!C12*(1+Assumptions!C10))*(1+Assumptions!C10))*(1+Assumptions!C10))*(1+Assumptions!C10))*(1+Assumptions!C10))</s:f>
        <s:v>46062.60958000001</s:v>
      </s:c>
      <s:c r="D27" s="4">
        <s:f>(((((Assumptions!D12*(1+Assumptions!D10))*(1+Assumptions!D10))*(1+Assumptions!D10))*(1+Assumptions!D10))*(1+Assumptions!D10))</s:f>
        <s:v>46062.60958000001</s:v>
      </s:c>
      <s:c r="E27" s="4">
        <s:f>(((((Assumptions!E12*(1+Assumptions!E10))*(1+Assumptions!E10))*(1+Assumptions!E10))*(1+Assumptions!E10))*(1+Assumptions!E10))</s:f>
        <s:v>46062.60958000001</s:v>
      </s:c>
      <s:c r="F27" s="4">
        <s:f>(((((Assumptions!F12*(1+Assumptions!F10))*(1+Assumptions!F10))*(1+Assumptions!F10))*(1+Assumptions!F10))*(1+Assumptions!F10))</s:f>
        <s:v>46062.60958000001</s:v>
      </s:c>
      <s:c r="G27" s="4">
        <s:f>(((((Assumptions!G12*(1+Assumptions!G10))*(1+Assumptions!G10))*(1+Assumptions!G10))*(1+Assumptions!G10))*(1+Assumptions!G10))</s:f>
        <s:v>46062.60958000001</s:v>
      </s:c>
      <s:c r="H27" s="4">
        <s:f>(((((Assumptions!H12*(1+Assumptions!H10))*(1+Assumptions!H10))*(1+Assumptions!H10))*(1+Assumptions!H10))*(1+Assumptions!H10))</s:f>
        <s:v>46062.60958000001</s:v>
      </s:c>
      <s:c r="I27" s="4">
        <s:f>(((((Assumptions!I12*(1+Assumptions!I10))*(1+Assumptions!I10))*(1+Assumptions!I10))*(1+Assumptions!I10))*(1+Assumptions!I10))</s:f>
        <s:v>46062.60958000001</s:v>
      </s:c>
      <s:c r="J27" s="4">
        <s:f>(((((Assumptions!J12*(1+Assumptions!J10))*(1+Assumptions!J10))*(1+Assumptions!J10))*(1+Assumptions!J10))*(1+Assumptions!J10))</s:f>
        <s:v>46062.60958000001</s:v>
      </s:c>
      <s:c r="K27" s="4">
        <s:f>(((((Assumptions!K12*(1+Assumptions!K10))*(1+Assumptions!K10))*(1+Assumptions!K10))*(1+Assumptions!K10))*(1+Assumptions!K10))</s:f>
        <s:v>46062.60958000001</s:v>
      </s:c>
    </s:row>
    <s:row r="28">
      <s:c r="A28" s="2" t="inlineStr">
        <s:is>
          <s:t>revenue6</s:t>
        </s:is>
      </s:c>
      <s:c r="B28" s="5">
        <s:f>(B27*(1+B34))</s:f>
        <s:v>57670.387194160015</s:v>
      </s:c>
      <s:c r="C28" s="5">
        <s:f>(C27*(1+C34))</s:f>
        <s:v>57670.387194160015</s:v>
      </s:c>
      <s:c r="D28" s="5">
        <s:f>(D27*(1+D34))</s:f>
        <s:v>57670.387194160015</s:v>
      </s:c>
      <s:c r="E28" s="5">
        <s:f>(E27*(1+E34))</s:f>
        <s:v>57670.387194160015</s:v>
      </s:c>
      <s:c r="F28" s="5">
        <s:f>(F27*(1+F34))</s:f>
        <s:v>57670.387194160015</s:v>
      </s:c>
      <s:c r="G28" s="5">
        <s:f>(G27*(1+G34))</s:f>
        <s:v>57670.387194160015</s:v>
      </s:c>
      <s:c r="H28" s="5">
        <s:f>(H27*(1+H34))</s:f>
        <s:v>57670.387194160015</s:v>
      </s:c>
      <s:c r="I28" s="5">
        <s:f>(I27*(1+I34))</s:f>
        <s:v>57670.387194160015</s:v>
      </s:c>
      <s:c r="J28" s="5">
        <s:f>(J27*(1+J34))</s:f>
        <s:v>57670.387194160015</s:v>
      </s:c>
      <s:c r="K28" s="5">
        <s:f>(K27*(1+K34))</s:f>
        <s:v>57670.387194160015</s:v>
      </s:c>
    </s:row>
    <s:row r="29">
      <s:c r="A29" s="2" t="inlineStr">
        <s:is>
          <s:t>revenue7</s:t>
        </s:is>
      </s:c>
      <s:c r="B29" s="5">
        <s:f>(B28*(1+B35))</s:f>
        <s:v>69435.14618176865</s:v>
      </s:c>
      <s:c r="C29" s="5">
        <s:f>(C28*(1+C35))</s:f>
        <s:v>69435.14618176865</s:v>
      </s:c>
      <s:c r="D29" s="5">
        <s:f>(D28*(1+D35))</s:f>
        <s:v>69435.14618176865</s:v>
      </s:c>
      <s:c r="E29" s="5">
        <s:f>(E28*(1+E35))</s:f>
        <s:v>69435.14618176865</s:v>
      </s:c>
      <s:c r="F29" s="5">
        <s:f>(F28*(1+F35))</s:f>
        <s:v>69435.14618176865</s:v>
      </s:c>
      <s:c r="G29" s="5">
        <s:f>(G28*(1+G35))</s:f>
        <s:v>69435.14618176865</s:v>
      </s:c>
      <s:c r="H29" s="5">
        <s:f>(H28*(1+H35))</s:f>
        <s:v>69435.14618176865</s:v>
      </s:c>
      <s:c r="I29" s="5">
        <s:f>(I28*(1+I35))</s:f>
        <s:v>69435.14618176865</s:v>
      </s:c>
      <s:c r="J29" s="5">
        <s:f>(J28*(1+J35))</s:f>
        <s:v>69435.14618176865</s:v>
      </s:c>
      <s:c r="K29" s="5">
        <s:f>(K28*(1+K35))</s:f>
        <s:v>69435.14618176865</s:v>
      </s:c>
    </s:row>
    <s:row r="30">
      <s:c r="A30" s="2" t="inlineStr">
        <s:is>
          <s:t>revenue8</s:t>
        </s:is>
      </s:c>
      <s:c r="B30" s="5">
        <s:f>(B29*(1+B36))</s:f>
        <s:v>80267.02898612457</s:v>
      </s:c>
      <s:c r="C30" s="5">
        <s:f>(C29*(1+C36))</s:f>
        <s:v>80267.02898612457</s:v>
      </s:c>
      <s:c r="D30" s="5">
        <s:f>(D29*(1+D36))</s:f>
        <s:v>80267.02898612457</s:v>
      </s:c>
      <s:c r="E30" s="5">
        <s:f>(E29*(1+E36))</s:f>
        <s:v>80267.02898612457</s:v>
      </s:c>
      <s:c r="F30" s="5">
        <s:f>(F29*(1+F36))</s:f>
        <s:v>80267.02898612457</s:v>
      </s:c>
      <s:c r="G30" s="5">
        <s:f>(G29*(1+G36))</s:f>
        <s:v>80267.02898612457</s:v>
      </s:c>
      <s:c r="H30" s="5">
        <s:f>(H29*(1+H36))</s:f>
        <s:v>80267.02898612457</s:v>
      </s:c>
      <s:c r="I30" s="5">
        <s:f>(I29*(1+I36))</s:f>
        <s:v>80267.02898612457</s:v>
      </s:c>
      <s:c r="J30" s="5">
        <s:f>(J29*(1+J36))</s:f>
        <s:v>80267.02898612457</s:v>
      </s:c>
      <s:c r="K30" s="5">
        <s:f>(K29*(1+K36))</s:f>
        <s:v>80267.02898612457</s:v>
      </s:c>
    </s:row>
    <s:row r="31">
      <s:c r="A31" s="2" t="inlineStr">
        <s:is>
          <s:t>revenue9</s:t>
        </s:is>
      </s:c>
      <s:c r="B31" s="5">
        <s:f>(B30*(1+B37))</s:f>
        <s:v>88935.86811662604</s:v>
      </s:c>
      <s:c r="C31" s="5">
        <s:f>(C30*(1+C37))</s:f>
        <s:v>88935.86811662604</s:v>
      </s:c>
      <s:c r="D31" s="5">
        <s:f>(D30*(1+D37))</s:f>
        <s:v>88935.86811662604</s:v>
      </s:c>
      <s:c r="E31" s="5">
        <s:f>(E30*(1+E37))</s:f>
        <s:v>88935.86811662604</s:v>
      </s:c>
      <s:c r="F31" s="5">
        <s:f>(F30*(1+F37))</s:f>
        <s:v>88935.86811662604</s:v>
      </s:c>
      <s:c r="G31" s="5">
        <s:f>(G30*(1+G37))</s:f>
        <s:v>88935.86811662604</s:v>
      </s:c>
      <s:c r="H31" s="5">
        <s:f>(H30*(1+H37))</s:f>
        <s:v>88935.86811662604</s:v>
      </s:c>
      <s:c r="I31" s="5">
        <s:f>(I30*(1+I37))</s:f>
        <s:v>88935.86811662604</s:v>
      </s:c>
      <s:c r="J31" s="5">
        <s:f>(J30*(1+J37))</s:f>
        <s:v>88935.86811662604</s:v>
      </s:c>
      <s:c r="K31" s="5">
        <s:f>(K30*(1+K37))</s:f>
        <s:v>88935.86811662604</s:v>
      </s:c>
    </s:row>
    <s:row r="32">
      <s:c r="A32" s="2" t="inlineStr">
        <s:is>
          <s:t>revenue_growth</s:t>
        </s:is>
      </s:c>
      <s:c r="B32" s="4">
        <s:f>Assumptions!B13</s:f>
        <s:v>0.3</s:v>
      </s:c>
      <s:c r="C32" s="4">
        <s:f>Assumptions!C13</s:f>
        <s:v>0.3</s:v>
      </s:c>
      <s:c r="D32" s="4">
        <s:f>Assumptions!D13</s:f>
        <s:v>0.3</s:v>
      </s:c>
      <s:c r="E32" s="4">
        <s:f>Assumptions!E13</s:f>
        <s:v>0.3</s:v>
      </s:c>
      <s:c r="F32" s="4">
        <s:f>Assumptions!F13</s:f>
        <s:v>0.3</s:v>
      </s:c>
      <s:c r="G32" s="4">
        <s:f>Assumptions!G13</s:f>
        <s:v>0.252</s:v>
      </s:c>
      <s:c r="H32" s="4">
        <s:f>Assumptions!H13</s:f>
        <s:v>0.204</s:v>
      </s:c>
      <s:c r="I32" s="4">
        <s:f>Assumptions!I13</s:f>
        <s:v>0.156</s:v>
      </s:c>
      <s:c r="J32" s="4">
        <s:f>Assumptions!J13</s:f>
        <s:v>0.108</s:v>
      </s:c>
      <s:c r="K32" s="4">
        <s:f>Assumptions!K13</s:f>
        <s:v>0.06</s:v>
      </s:c>
    </s:row>
    <s:row r="33">
      <s:c r="A33" s="2" t="inlineStr">
        <s:is>
          <s:t>revenue_growth10</s:t>
        </s:is>
      </s:c>
      <s:c r="B33" s="5">
        <s:f>(B37-B38)</s:f>
        <s:v>0.060000000000000026</s:v>
      </s:c>
      <s:c r="C33" s="5">
        <s:f>(C37-C38)</s:f>
        <s:v>0.060000000000000026</s:v>
      </s:c>
      <s:c r="D33" s="5">
        <s:f>(D37-D38)</s:f>
        <s:v>0.060000000000000026</s:v>
      </s:c>
      <s:c r="E33" s="5">
        <s:f>(E37-E38)</s:f>
        <s:v>0.060000000000000026</s:v>
      </s:c>
      <s:c r="F33" s="5">
        <s:f>(F37-F38)</s:f>
        <s:v>0.060000000000000026</s:v>
      </s:c>
      <s:c r="G33" s="5">
        <s:f>(G37-G38)</s:f>
        <s:v>0.060000000000000026</s:v>
      </s:c>
      <s:c r="H33" s="5">
        <s:f>(H37-H38)</s:f>
        <s:v>0.060000000000000026</s:v>
      </s:c>
      <s:c r="I33" s="5">
        <s:f>(I37-I38)</s:f>
        <s:v>0.060000000000000026</s:v>
      </s:c>
      <s:c r="J33" s="5">
        <s:f>(J37-J38)</s:f>
        <s:v>0.060000000000000026</s:v>
      </s:c>
      <s:c r="K33" s="5">
        <s:f>(K37-K38)</s:f>
        <s:v>0.060000000000000026</s:v>
      </s:c>
    </s:row>
    <s:row r="34">
      <s:c r="A34" s="2" t="inlineStr">
        <s:is>
          <s:t>revenue_growth6</s:t>
        </s:is>
      </s:c>
      <s:c r="B34" s="4">
        <s:f>(Assumptions!B10-B38)</s:f>
        <s:v>0.252</s:v>
      </s:c>
      <s:c r="C34" s="4">
        <s:f>(Assumptions!C10-C38)</s:f>
        <s:v>0.252</s:v>
      </s:c>
      <s:c r="D34" s="4">
        <s:f>(Assumptions!D10-D38)</s:f>
        <s:v>0.252</s:v>
      </s:c>
      <s:c r="E34" s="4">
        <s:f>(Assumptions!E10-E38)</s:f>
        <s:v>0.252</s:v>
      </s:c>
      <s:c r="F34" s="4">
        <s:f>(Assumptions!F10-F38)</s:f>
        <s:v>0.252</s:v>
      </s:c>
      <s:c r="G34" s="4">
        <s:f>(Assumptions!G10-G38)</s:f>
        <s:v>0.252</s:v>
      </s:c>
      <s:c r="H34" s="4">
        <s:f>(Assumptions!H10-H38)</s:f>
        <s:v>0.252</s:v>
      </s:c>
      <s:c r="I34" s="4">
        <s:f>(Assumptions!I10-I38)</s:f>
        <s:v>0.252</s:v>
      </s:c>
      <s:c r="J34" s="4">
        <s:f>(Assumptions!J10-J38)</s:f>
        <s:v>0.252</s:v>
      </s:c>
      <s:c r="K34" s="4">
        <s:f>(Assumptions!K10-K38)</s:f>
        <s:v>0.252</s:v>
      </s:c>
    </s:row>
    <s:row r="35">
      <s:c r="A35" s="2" t="inlineStr">
        <s:is>
          <s:t>revenue_growth7</s:t>
        </s:is>
      </s:c>
      <s:c r="B35" s="5">
        <s:f>(B34-B38)</s:f>
        <s:v>0.20400000000000001</s:v>
      </s:c>
      <s:c r="C35" s="5">
        <s:f>(C34-C38)</s:f>
        <s:v>0.20400000000000001</s:v>
      </s:c>
      <s:c r="D35" s="5">
        <s:f>(D34-D38)</s:f>
        <s:v>0.20400000000000001</s:v>
      </s:c>
      <s:c r="E35" s="5">
        <s:f>(E34-E38)</s:f>
        <s:v>0.20400000000000001</s:v>
      </s:c>
      <s:c r="F35" s="5">
        <s:f>(F34-F38)</s:f>
        <s:v>0.20400000000000001</s:v>
      </s:c>
      <s:c r="G35" s="5">
        <s:f>(G34-G38)</s:f>
        <s:v>0.20400000000000001</s:v>
      </s:c>
      <s:c r="H35" s="5">
        <s:f>(H34-H38)</s:f>
        <s:v>0.20400000000000001</s:v>
      </s:c>
      <s:c r="I35" s="5">
        <s:f>(I34-I38)</s:f>
        <s:v>0.20400000000000001</s:v>
      </s:c>
      <s:c r="J35" s="5">
        <s:f>(J34-J38)</s:f>
        <s:v>0.20400000000000001</s:v>
      </s:c>
      <s:c r="K35" s="5">
        <s:f>(K34-K38)</s:f>
        <s:v>0.20400000000000001</s:v>
      </s:c>
    </s:row>
    <s:row r="36">
      <s:c r="A36" s="2" t="inlineStr">
        <s:is>
          <s:t>revenue_growth8</s:t>
        </s:is>
      </s:c>
      <s:c r="B36" s="5">
        <s:f>(B35-B38)</s:f>
        <s:v>0.15600000000000003</s:v>
      </s:c>
      <s:c r="C36" s="5">
        <s:f>(C35-C38)</s:f>
        <s:v>0.15600000000000003</s:v>
      </s:c>
      <s:c r="D36" s="5">
        <s:f>(D35-D38)</s:f>
        <s:v>0.15600000000000003</s:v>
      </s:c>
      <s:c r="E36" s="5">
        <s:f>(E35-E38)</s:f>
        <s:v>0.15600000000000003</s:v>
      </s:c>
      <s:c r="F36" s="5">
        <s:f>(F35-F38)</s:f>
        <s:v>0.15600000000000003</s:v>
      </s:c>
      <s:c r="G36" s="5">
        <s:f>(G35-G38)</s:f>
        <s:v>0.15600000000000003</s:v>
      </s:c>
      <s:c r="H36" s="5">
        <s:f>(H35-H38)</s:f>
        <s:v>0.15600000000000003</s:v>
      </s:c>
      <s:c r="I36" s="5">
        <s:f>(I35-I38)</s:f>
        <s:v>0.15600000000000003</s:v>
      </s:c>
      <s:c r="J36" s="5">
        <s:f>(J35-J38)</s:f>
        <s:v>0.15600000000000003</s:v>
      </s:c>
      <s:c r="K36" s="5">
        <s:f>(K35-K38)</s:f>
        <s:v>0.15600000000000003</s:v>
      </s:c>
    </s:row>
    <s:row r="37">
      <s:c r="A37" s="2" t="inlineStr">
        <s:is>
          <s:t>revenue_growth9</s:t>
        </s:is>
      </s:c>
      <s:c r="B37" s="5">
        <s:f>(B36-B38)</s:f>
        <s:v>0.10800000000000003</s:v>
      </s:c>
      <s:c r="C37" s="5">
        <s:f>(C36-C38)</s:f>
        <s:v>0.10800000000000003</s:v>
      </s:c>
      <s:c r="D37" s="5">
        <s:f>(D36-D38)</s:f>
        <s:v>0.10800000000000003</s:v>
      </s:c>
      <s:c r="E37" s="5">
        <s:f>(E36-E38)</s:f>
        <s:v>0.10800000000000003</s:v>
      </s:c>
      <s:c r="F37" s="5">
        <s:f>(F36-F38)</s:f>
        <s:v>0.10800000000000003</s:v>
      </s:c>
      <s:c r="G37" s="5">
        <s:f>(G36-G38)</s:f>
        <s:v>0.10800000000000003</s:v>
      </s:c>
      <s:c r="H37" s="5">
        <s:f>(H36-H38)</s:f>
        <s:v>0.10800000000000003</s:v>
      </s:c>
      <s:c r="I37" s="5">
        <s:f>(I36-I38)</s:f>
        <s:v>0.10800000000000003</s:v>
      </s:c>
      <s:c r="J37" s="5">
        <s:f>(J36-J38)</s:f>
        <s:v>0.10800000000000003</s:v>
      </s:c>
      <s:c r="K37" s="5">
        <s:f>(K36-K38)</s:f>
        <s:v>0.10800000000000003</s:v>
      </s:c>
    </s:row>
    <s:row r="38">
      <s:c r="A38" s="2" t="inlineStr">
        <s:is>
          <s:t>revenue_step</s:t>
        </s:is>
      </s:c>
      <s:c r="B38" s="4">
        <s:f>((Assumptions!B10-Assumptions!B16)/Assumptions!B21)</s:f>
        <s:v>0.048</s:v>
      </s:c>
      <s:c r="C38" s="4">
        <s:f>((Assumptions!C10-Assumptions!C16)/Assumptions!C21)</s:f>
        <s:v>0.048</s:v>
      </s:c>
      <s:c r="D38" s="4">
        <s:f>((Assumptions!D10-Assumptions!D16)/Assumptions!D21)</s:f>
        <s:v>0.048</s:v>
      </s:c>
      <s:c r="E38" s="4">
        <s:f>((Assumptions!E10-Assumptions!E16)/Assumptions!E21)</s:f>
        <s:v>0.048</s:v>
      </s:c>
      <s:c r="F38" s="4">
        <s:f>((Assumptions!F10-Assumptions!F16)/Assumptions!F21)</s:f>
        <s:v>0.048</s:v>
      </s:c>
      <s:c r="G38" s="4">
        <s:f>((Assumptions!G10-Assumptions!G16)/Assumptions!G21)</s:f>
        <s:v>0.048</s:v>
      </s:c>
      <s:c r="H38" s="4">
        <s:f>((Assumptions!H10-Assumptions!H16)/Assumptions!H21)</s:f>
        <s:v>0.048</s:v>
      </s:c>
      <s:c r="I38" s="4">
        <s:f>((Assumptions!I10-Assumptions!I16)/Assumptions!I21)</s:f>
        <s:v>0.048</s:v>
      </s:c>
      <s:c r="J38" s="4">
        <s:f>((Assumptions!J10-Assumptions!J16)/Assumptions!J21)</s:f>
        <s:v>0.048</s:v>
      </s:c>
      <s:c r="K38" s="4">
        <s:f>((Assumptions!K10-Assumptions!K16)/Assumptions!K21)</s:f>
        <s:v>0.048</s:v>
      </s:c>
    </s:row>
    <s:row r="39">
      <s:c r="A39" s="2" t="inlineStr">
        <s:is>
          <s:t>terminal_capex</s:t>
        </s:is>
      </s:c>
      <s:c r="B39" s="4">
        <s:f>((((B40*Assumptions!B16)/Assumptions!B18)-B41)+B7)</s:f>
        <s:v>9406.024014430543</s:v>
      </s:c>
      <s:c r="C39" s="4">
        <s:f>((((C40*Assumptions!C16)/Assumptions!C18)-C41)+C7)</s:f>
        <s:v>9406.024014430543</s:v>
      </s:c>
      <s:c r="D39" s="4">
        <s:f>((((D40*Assumptions!D16)/Assumptions!D18)-D41)+D7)</s:f>
        <s:v>9406.024014430543</s:v>
      </s:c>
      <s:c r="E39" s="4">
        <s:f>((((E40*Assumptions!E16)/Assumptions!E18)-E41)+E7)</s:f>
        <s:v>9406.024014430543</s:v>
      </s:c>
      <s:c r="F39" s="4">
        <s:f>((((F40*Assumptions!F16)/Assumptions!F18)-F41)+F7)</s:f>
        <s:v>9406.024014430543</s:v>
      </s:c>
      <s:c r="G39" s="4">
        <s:f>((((G40*Assumptions!G16)/Assumptions!G18)-G41)+G7)</s:f>
        <s:v>9406.024014430543</s:v>
      </s:c>
      <s:c r="H39" s="4">
        <s:f>((((H40*Assumptions!H16)/Assumptions!H18)-H41)+H7)</s:f>
        <s:v>9406.024014430543</s:v>
      </s:c>
      <s:c r="I39" s="4">
        <s:f>((((I40*Assumptions!I16)/Assumptions!I18)-I41)+I7)</s:f>
        <s:v>9406.024014430543</s:v>
      </s:c>
      <s:c r="J39" s="4">
        <s:f>((((J40*Assumptions!J16)/Assumptions!J18)-J41)+J7)</s:f>
        <s:v>9406.024014430543</s:v>
      </s:c>
      <s:c r="K39" s="4">
        <s:f>((((K40*Assumptions!K16)/Assumptions!K18)-K41)+K7)</s:f>
        <s:v>9406.024014430543</s:v>
      </s:c>
    </s:row>
    <s:row r="40">
      <s:c r="A40" s="2" t="inlineStr">
        <s:is>
          <s:t>terminal_nopat</s:t>
        </s:is>
      </s:c>
      <s:c r="B40" s="4">
        <s:f>((B26*Assumptions!B17)*(1-Assumptions!B19))</s:f>
        <s:v>15083.523232579777</s:v>
      </s:c>
      <s:c r="C40" s="4">
        <s:f>((C26*Assumptions!C17)*(1-Assumptions!C19))</s:f>
        <s:v>15083.523232579777</s:v>
      </s:c>
      <s:c r="D40" s="4">
        <s:f>((D26*Assumptions!D17)*(1-Assumptions!D19))</s:f>
        <s:v>15083.523232579777</s:v>
      </s:c>
      <s:c r="E40" s="4">
        <s:f>((E26*Assumptions!E17)*(1-Assumptions!E19))</s:f>
        <s:v>15083.523232579777</s:v>
      </s:c>
      <s:c r="F40" s="4">
        <s:f>((F26*Assumptions!F17)*(1-Assumptions!F19))</s:f>
        <s:v>15083.523232579777</s:v>
      </s:c>
      <s:c r="G40" s="4">
        <s:f>((G26*Assumptions!G17)*(1-Assumptions!G19))</s:f>
        <s:v>15083.523232579777</s:v>
      </s:c>
      <s:c r="H40" s="4">
        <s:f>((H26*Assumptions!H17)*(1-Assumptions!H19))</s:f>
        <s:v>15083.523232579777</s:v>
      </s:c>
      <s:c r="I40" s="4">
        <s:f>((I26*Assumptions!I17)*(1-Assumptions!I19))</s:f>
        <s:v>15083.523232579777</s:v>
      </s:c>
      <s:c r="J40" s="4">
        <s:f>((J26*Assumptions!J17)*(1-Assumptions!J19))</s:f>
        <s:v>15083.523232579777</s:v>
      </s:c>
      <s:c r="K40" s="4">
        <s:f>((K26*Assumptions!K17)*(1-Assumptions!K19))</s:f>
        <s:v>15083.523232579777</s:v>
      </s:c>
    </s:row>
    <s:row r="41">
      <s:c r="A41" s="2" t="inlineStr">
        <s:is>
          <s:t>terminal_working_capital_change</s:t>
        </s:is>
      </s:c>
      <s:c r="B41" s="4">
        <s:f>((B26-B31)*Assumptions!B22)</s:f>
        <s:v>400.21140652481733</s:v>
      </s:c>
      <s:c r="C41" s="4">
        <s:f>((C26-C31)*Assumptions!C22)</s:f>
        <s:v>400.21140652481733</s:v>
      </s:c>
      <s:c r="D41" s="4">
        <s:f>((D26-D31)*Assumptions!D22)</s:f>
        <s:v>400.21140652481733</s:v>
      </s:c>
      <s:c r="E41" s="4">
        <s:f>((E26-E31)*Assumptions!E22)</s:f>
        <s:v>400.21140652481733</s:v>
      </s:c>
      <s:c r="F41" s="4">
        <s:f>((F26-F31)*Assumptions!F22)</s:f>
        <s:v>400.21140652481733</s:v>
      </s:c>
      <s:c r="G41" s="4">
        <s:f>((G26-G31)*Assumptions!G22)</s:f>
        <s:v>400.21140652481733</s:v>
      </s:c>
      <s:c r="H41" s="4">
        <s:f>((H26-H31)*Assumptions!H22)</s:f>
        <s:v>400.21140652481733</s:v>
      </s:c>
      <s:c r="I41" s="4">
        <s:f>((I26-I31)*Assumptions!I22)</s:f>
        <s:v>400.21140652481733</s:v>
      </s:c>
      <s:c r="J41" s="4">
        <s:f>((J26-J31)*Assumptions!J22)</s:f>
        <s:v>400.21140652481733</s:v>
      </s:c>
      <s:c r="K41" s="4">
        <s:f>((K26-K31)*Assumptions!K22)</s:f>
        <s:v>400.21140652481733</s:v>
      </s:c>
    </s:row>
    <s:row r="42">
      <s:c r="A42" s="2" t="inlineStr">
        <s:is>
          <s:t>wacc</s:t>
        </s:is>
      </s:c>
      <s:c r="B42" s="4">
        <s:f>((B4*(1-Assumptions!B7))+(B2*Assumptions!B7))</s:f>
        <s:v>0.13375</s:v>
      </s:c>
      <s:c r="C42" s="4">
        <s:f>((C4*(1-Assumptions!C7))+(C2*Assumptions!C7))</s:f>
        <s:v>0.13375</s:v>
      </s:c>
      <s:c r="D42" s="4">
        <s:f>((D4*(1-Assumptions!D7))+(D2*Assumptions!D7))</s:f>
        <s:v>0.13375</s:v>
      </s:c>
      <s:c r="E42" s="4">
        <s:f>((E4*(1-Assumptions!E7))+(E2*Assumptions!E7))</s:f>
        <s:v>0.13375</s:v>
      </s:c>
      <s:c r="F42" s="4">
        <s:f>((F4*(1-Assumptions!F7))+(F2*Assumptions!F7))</s:f>
        <s:v>0.13375</s:v>
      </s:c>
      <s:c r="G42" s="4">
        <s:f>((G4*(1-Assumptions!G7))+(G2*Assumptions!G7))</s:f>
        <s:v>0.13131020000000002</s:v>
      </s:c>
      <s:c r="H42" s="4">
        <s:f>((H4*(1-Assumptions!H7))+(H2*Assumptions!H7))</s:f>
        <s:v>0.12887780000000001</s:v>
      </s:c>
      <s:c r="I42" s="4">
        <s:f>((I4*(1-Assumptions!I7))+(I2*Assumptions!I7))</s:f>
        <s:v>0.1264528</s:v>
      </s:c>
      <s:c r="J42" s="4">
        <s:f>((J4*(1-Assumptions!J7))+(J2*Assumptions!J7))</s:f>
        <s:v>0.12403519999999998</s:v>
      </s:c>
      <s:c r="K42" s="4">
        <s:f>((K4*(1-Assumptions!K7))+(K2*Assumptions!K7))</s:f>
        <s:v>0.121625</s:v>
      </s:c>
    </s:row>
    <s:row r="43">
      <s:c r="A43" s="2" t="inlineStr">
        <s:is>
          <s:t>working_capital_change</s:t>
        </s:is>
      </s:c>
      <s:c r="B43" s="4">
        <s:f>((B25-Assumptions!B12)*Assumptions!B22)</s:f>
        <s:v>279.13500000000005</s:v>
      </s:c>
      <s:c r="C43" s="4">
        <s:f>((C25-B25)*Assumptions!C22)</s:f>
        <s:v>362.87550000000016</s:v>
      </s:c>
      <s:c r="D43" s="4">
        <s:f>((D25-C25)*Assumptions!D22)</s:f>
        <s:v>471.7381500000003</s:v>
      </s:c>
      <s:c r="E43" s="4">
        <s:f>((E25-D25)*Assumptions!E22)</s:f>
        <s:v>613.2595950000003</s:v>
      </s:c>
      <s:c r="F43" s="4">
        <s:f>((F25-E25)*Assumptions!F22)</s:f>
        <s:v>797.2374735000004</s:v>
      </s:c>
      <s:c r="G43" s="4">
        <s:f>((G25-F25)*Assumptions!G22)</s:f>
        <s:v>870.5833210619998</s:v>
      </s:c>
      <s:c r="H43" s="4">
        <s:f>((H25-G25)*Assumptions!H22)</s:f>
        <s:v>882.3569240706487</s:v>
      </s:c>
      <s:c r="I43" s="4">
        <s:f>((I25-H25)*Assumptions!I22)</s:f>
        <s:v>812.3912103266917</s:v>
      </s:c>
      <s:c r="J43" s="4">
        <s:f>((J25-I25)*Assumptions!J22)</s:f>
        <s:v>650.16293478761</s:v>
      </s:c>
      <s:c r="K43" s="4">
        <s:f>((K25-J25)*Assumptions!K22)</s:f>
        <s:v>400.21140652481733</s:v>
      </s:c>
    </s:row>
    <s:row r="44" hidden="1">
      <s:c r="A44" s="2" t="inlineStr">
        <s:is>
          <s:t>_grow_factor_1</s:t>
        </s:is>
      </s:c>
      <s:c r="B44" s="4">
        <s:f>(1*(1+Assumptions!B5))</s:f>
        <s:v>1.3</s:v>
      </s:c>
      <s:c r="C44" s="4">
        <s:f>(B44*(1+Assumptions!C5))</s:f>
        <s:v>1.6900000000000002</s:v>
      </s:c>
      <s:c r="D44" s="4">
        <s:f>(C44*(1+Assumptions!D5))</s:f>
        <s:v>2.1970000000000005</s:v>
      </s:c>
      <s:c r="E44" s="4">
        <s:f>(D44*(1+Assumptions!E5))</s:f>
        <s:v>2.856100000000001</s:v>
      </s:c>
      <s:c r="F44" s="4">
        <s:f>(E44*(1+Assumptions!F5))</s:f>
        <s:v>3.7129300000000014</s:v>
      </s:c>
      <s:c r="G44" s="4">
        <s:f>(F44*(1+Assumptions!G5))</s:f>
        <s:v>3.7129300000000014</s:v>
      </s:c>
      <s:c r="H44" s="4">
        <s:f>(G44*(1+Assumptions!H5))</s:f>
        <s:v>3.7129300000000014</s:v>
      </s:c>
      <s:c r="I44" s="4">
        <s:f>(H44*(1+Assumptions!I5))</s:f>
        <s:v>3.7129300000000014</s:v>
      </s:c>
      <s:c r="J44" s="4">
        <s:f>(I44*(1+Assumptions!J5))</s:f>
        <s:v>3.7129300000000014</s:v>
      </s:c>
      <s:c r="K44" s="4">
        <s:f>(J44*(1+Assumptions!K5))</s:f>
        <s:v>3.7129300000000014</s:v>
      </s:c>
    </s:row>
    <s:row r="45" hidden="1">
      <s:c r="A45" s="2" t="inlineStr">
        <s:is>
          <s:t>_grow_factor_2</s:t>
        </s:is>
      </s:c>
      <s:c r="B45" s="4">
        <s:f>(1*(1+Assumptions!B9))</s:f>
        <s:v>1.3</s:v>
      </s:c>
      <s:c r="C45" s="4">
        <s:f>(B45*(1+Assumptions!C9))</s:f>
        <s:v>1.6900000000000002</s:v>
      </s:c>
      <s:c r="D45" s="4">
        <s:f>(C45*(1+Assumptions!D9))</s:f>
        <s:v>2.1970000000000005</s:v>
      </s:c>
      <s:c r="E45" s="4">
        <s:f>(D45*(1+Assumptions!E9))</s:f>
        <s:v>2.856100000000001</s:v>
      </s:c>
      <s:c r="F45" s="4">
        <s:f>(E45*(1+Assumptions!F9))</s:f>
        <s:v>3.7129300000000014</s:v>
      </s:c>
      <s:c r="G45" s="4">
        <s:f>(F45*(1+Assumptions!G9))</s:f>
        <s:v>4.6485883600000015</s:v>
      </s:c>
      <s:c r="H45" s="4">
        <s:f>(G45*(1+Assumptions!H9))</s:f>
        <s:v>5.5969003854400015</s:v>
      </s:c>
      <s:c r="I45" s="4">
        <s:f>(H45*(1+Assumptions!I9))</s:f>
        <s:v>6.470016845568641</s:v>
      </s:c>
      <s:c r="J45" s="4">
        <s:f>(I45*(1+Assumptions!J9))</s:f>
        <s:v>7.168778664890055</s:v>
      </s:c>
      <s:c r="K45" s="4">
        <s:f>(J45*(1+Assumptions!K9))</s:f>
        <s:v>7.598905384783459</s:v>
      </s:c>
    </s:row>
    <s:row r="46" hidden="1">
      <s:c r="A46" s="2" t="inlineStr">
        <s:is>
          <s:t>_grow_factor_3</s:t>
        </s:is>
      </s:c>
      <s:c r="B46" s="5">
        <s:f>(1*(1+B42))</s:f>
        <s:v>1.13375</s:v>
      </s:c>
      <s:c r="C46" s="5">
        <s:f>(B46*(1+C42))</s:f>
        <s:v>1.2853890625000002</s:v>
      </s:c>
      <s:c r="D46" s="5">
        <s:f>(C46*(1+D42))</s:f>
        <s:v>1.4573098496093753</s:v>
      </s:c>
      <s:c r="E46" s="5">
        <s:f>(D46*(1+E42))</s:f>
        <s:v>1.6522250419946292</s:v>
      </s:c>
      <s:c r="F46" s="5">
        <s:f>(E46*(1+F42))</s:f>
        <s:v>1.8732101413614108</s:v>
      </s:c>
      <s:c r="G46" s="5">
        <s:f>(F46*(1+G42))</s:f>
        <s:v>2.119181739665606</s:v>
      </s:c>
      <s:c r="H46" s="5">
        <s:f>(G46*(1+H42))</s:f>
        <s:v>2.392297220073882</s:v>
      </s:c>
      <s:c r="I46" s="5">
        <s:f>(H46*(1+I42))</s:f>
        <s:v>2.6948099019844407</s:v>
      </s:c>
      <s:c r="J46" s="5">
        <s:f>(I46*(1+J42))</s:f>
        <s:v>3.029061187139061</s:v>
      </s:c>
      <s:c r="K46" s="5">
        <s:f>(J46*(1+K42))</s:f>
        <s:v>3.39747075402485</s:v>
      </s:c>
    </s:row>
    <s:row r="47" hidden="1">
      <s:c r="A47" s="2" t="inlineStr">
        <s:is>
          <s:t>_grow_factor_4</s:t>
        </s:is>
      </s:c>
      <s:c r="B47" s="4">
        <s:f>(1*(1+Assumptions!B13))</s:f>
        <s:v>1.3</s:v>
      </s:c>
      <s:c r="C47" s="4">
        <s:f>(B47*(1+Assumptions!C13))</s:f>
        <s:v>1.6900000000000002</s:v>
      </s:c>
      <s:c r="D47" s="4">
        <s:f>(C47*(1+Assumptions!D13))</s:f>
        <s:v>2.1970000000000005</s:v>
      </s:c>
      <s:c r="E47" s="4">
        <s:f>(D47*(1+Assumptions!E13))</s:f>
        <s:v>2.856100000000001</s:v>
      </s:c>
      <s:c r="F47" s="4">
        <s:f>(E47*(1+Assumptions!F13))</s:f>
        <s:v>3.7129300000000014</s:v>
      </s:c>
      <s:c r="G47" s="4">
        <s:f>(F47*(1+Assumptions!G13))</s:f>
        <s:v>4.6485883600000015</s:v>
      </s:c>
      <s:c r="H47" s="4">
        <s:f>(G47*(1+Assumptions!H13))</s:f>
        <s:v>5.5969003854400015</s:v>
      </s:c>
      <s:c r="I47" s="4">
        <s:f>(H47*(1+Assumptions!I13))</s:f>
        <s:v>6.470016845568641</s:v>
      </s:c>
      <s:c r="J47" s="4">
        <s:f>(I47*(1+Assumptions!J13))</s:f>
        <s:v>7.168778664890055</s:v>
      </s:c>
      <s:c r="K47" s="4">
        <s:f>(J47*(1+Assumptions!K13))</s:f>
        <s:v>7.598905384783459</s:v>
      </s:c>
    </s:row>
  </s:sheetData>
  <s:autoFilter ref="A1:A1"/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K14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  <s:col width="18" customWidth="1" min="8" max="8"/>
    <s:col width="18" customWidth="1" min="9" max="9"/>
    <s:col width="18" customWidth="1" min="10" max="10"/>
    <s:col width="18" customWidth="1" min="11" max="11"/>
  </s:cols>
  <s:sheetData>
    <s:row r="1">
      <s:c r="A1" s="1" t="inlineStr">
        <s:is>
          <s:t>Line</s:t>
        </s:is>
      </s:c>
      <s:c r="B1" s="1" t="n">
        <s:v>1</s:v>
      </s:c>
      <s:c r="C1" s="1" t="n">
        <s:v>2</s:v>
      </s:c>
      <s:c r="D1" s="1" t="n">
        <s:v>3</s:v>
      </s:c>
      <s:c r="E1" s="1" t="n">
        <s:v>4</s:v>
      </s:c>
      <s:c r="F1" s="1" t="n">
        <s:v>5</s:v>
      </s:c>
      <s:c r="G1" s="1" t="n">
        <s:v>6</s:v>
      </s:c>
      <s:c r="H1" s="1" t="n">
        <s:v>7</s:v>
      </s:c>
      <s:c r="I1" s="1" t="n">
        <s:v>8</s:v>
      </s:c>
      <s:c r="J1" s="1" t="n">
        <s:v>9</s:v>
      </s:c>
      <s:c r="K1" s="1" t="n">
        <s:v>10</s:v>
      </s:c>
    </s:row>
    <s:row r="2">
      <s:c r="A2" s="2" t="inlineStr">
        <s:is>
          <s:t>FCF</s:t>
        </s:is>
      </s:c>
      <s:c r="B2" s="4">
        <s:f>Model!B22</s:f>
        <s:v>993.7605199999998</s:v>
      </s:c>
      <s:c r="C2" s="4">
        <s:f>Model!C22</s:f>
        <s:v>1912.0348520000002</s:v>
      </s:c>
      <s:c r="D2" s="4">
        <s:f>Model!D22</s:f>
        <s:v>3291.8353364</s:v>
      </s:c>
      <s:c r="E2" s="4">
        <s:f>Model!E22</s:f>
        <s:v>5327.4329747599995</s:v>
      </s:c>
      <s:c r="F2" s="4">
        <s:f>Model!F22</s:f>
        <s:v>8288.12401586</s:v>
      </s:c>
      <s:c r="G2" s="4">
        <s:f>Model!G22</s:f>
        <s:v>8645.02491856799</s:v>
      </s:c>
      <s:c r="H2" s="4">
        <s:f>Model!H22</s:f>
        <s:v>8946.820366791198</s:v>
      </s:c>
      <s:c r="I2" s="4">
        <s:f>Model!I22</s:f>
        <s:v>8996.15693379676</s:v>
      </s:c>
      <s:c r="J2" s="4">
        <s:f>Model!J22</s:f>
        <s:v>8587.219812411762</s:v>
      </s:c>
      <s:c r="K2" s="4">
        <s:f>Model!K22</s:f>
        <s:v>7541.761616289885</s:v>
      </s:c>
    </s:row>
    <s:row r="3">
      <s:c r="A3" s="2" t="inlineStr">
        <s:is>
          <s:t>WACC</s:t>
        </s:is>
      </s:c>
      <s:c r="B3" s="4">
        <s:f>Assumptions!B23</s:f>
        <s:v>0.13375</s:v>
      </s:c>
      <s:c r="C3" s="4">
        <s:f>Assumptions!C23</s:f>
        <s:v>0.13375</s:v>
      </s:c>
      <s:c r="D3" s="4">
        <s:f>Assumptions!D23</s:f>
        <s:v>0.13375</s:v>
      </s:c>
      <s:c r="E3" s="4">
        <s:f>Assumptions!E23</s:f>
        <s:v>0.13375</s:v>
      </s:c>
      <s:c r="F3" s="4">
        <s:f>Assumptions!F23</s:f>
        <s:v>0.13375</s:v>
      </s:c>
      <s:c r="G3" s="4">
        <s:f>Assumptions!G23</s:f>
        <s:v>0.13131020000000002</s:v>
      </s:c>
      <s:c r="H3" s="4">
        <s:f>Assumptions!H23</s:f>
        <s:v>0.12887780000000001</s:v>
      </s:c>
      <s:c r="I3" s="4">
        <s:f>Assumptions!I23</s:f>
        <s:v>0.1264528</s:v>
      </s:c>
      <s:c r="J3" s="4">
        <s:f>Assumptions!J23</s:f>
        <s:v>0.12403519999999998</s:v>
      </s:c>
      <s:c r="K3" s="4">
        <s:f>Assumptions!K23</s:f>
        <s:v>0.121625</s:v>
      </s:c>
    </s:row>
    <s:row r="4">
      <s:c r="A4" s="2" t="inlineStr">
        <s:is>
          <s:t>Discount factor</s:t>
        </s:is>
      </s:c>
      <s:c r="B4" s="5">
        <s:f>1*(1+B3)</s:f>
        <s:v>1.13375</s:v>
      </s:c>
      <s:c r="C4" s="5">
        <s:f>B4*(1+C3)</s:f>
        <s:v>1.2853890625000002</s:v>
      </s:c>
      <s:c r="D4" s="5">
        <s:f>C4*(1+D3)</s:f>
        <s:v>1.4573098496093753</s:v>
      </s:c>
      <s:c r="E4" s="5">
        <s:f>D4*(1+E3)</s:f>
        <s:v>1.6522250419946292</s:v>
      </s:c>
      <s:c r="F4" s="5">
        <s:f>E4*(1+F3)</s:f>
        <s:v>1.8732101413614108</s:v>
      </s:c>
      <s:c r="G4" s="5">
        <s:f>F4*(1+G3)</s:f>
        <s:v>2.119181739665606</s:v>
      </s:c>
      <s:c r="H4" s="5">
        <s:f>G4*(1+H3)</s:f>
        <s:v>2.392297220073882</s:v>
      </s:c>
      <s:c r="I4" s="5">
        <s:f>H4*(1+I3)</s:f>
        <s:v>2.6948099019844407</s:v>
      </s:c>
      <s:c r="J4" s="5">
        <s:f>I4*(1+J3)</s:f>
        <s:v>3.029061187139061</s:v>
      </s:c>
      <s:c r="K4" s="5">
        <s:f>J4*(1+K3)</s:f>
        <s:v>3.39747075402485</s:v>
      </s:c>
    </s:row>
    <s:row r="5">
      <s:c r="A5" s="2" t="inlineStr">
        <s:is>
          <s:t>Present value</s:t>
        </s:is>
      </s:c>
      <s:c r="B5" s="5">
        <s:f>B2/B4</s:f>
        <s:v>876.5252657111354</s:v>
      </s:c>
      <s:c r="C5" s="5">
        <s:f>C2/C4</s:f>
        <s:v>1487.5144870777208</s:v>
      </s:c>
      <s:c r="D5" s="5">
        <s:f>D2/D4</s:f>
        <s:v>2258.84381230413</s:v>
      </s:c>
      <s:c r="E5" s="5">
        <s:f>E2/E4</s:f>
        <s:v>3224.3991220036946</s:v>
      </s:c>
      <s:c r="F5" s="5">
        <s:f>F2/F4</s:f>
        <s:v>4424.55645143815</s:v>
      </s:c>
      <s:c r="G5" s="5">
        <s:f>G2/G4</s:f>
        <s:v>4079.4164826713363</s:v>
      </s:c>
      <s:c r="H5" s="5">
        <s:f>H2/H4</s:f>
        <s:v>3739.8448201661545</s:v>
      </s:c>
      <s:c r="I5" s="5">
        <s:f>I2/I4</s:f>
        <s:v>3338.327103211268</s:v>
      </s:c>
      <s:c r="J5" s="5">
        <s:f>J2/J4</s:f>
        <s:v>2834.944321650486</s:v>
      </s:c>
      <s:c r="K5" s="5">
        <s:f>K2/K4</s:f>
        <s:v>2219.816493594671</s:v>
      </s:c>
    </s:row>
    <s:row r="6">
      <s:c r="A6" s="2" t="n"/>
      <s:c r="B6" s="2" t="n"/>
      <s:c r="C6" s="2" t="n"/>
      <s:c r="D6" s="2" t="n"/>
      <s:c r="E6" s="2" t="n"/>
      <s:c r="F6" s="2" t="n"/>
      <s:c r="G6" s="2" t="n"/>
      <s:c r="H6" s="2" t="n"/>
      <s:c r="I6" s="2" t="n"/>
      <s:c r="J6" s="2" t="n"/>
      <s:c r="K6" s="2" t="n"/>
    </s:row>
    <s:row r="7">
      <s:c r="A7" s="2" t="inlineStr">
        <s:is>
          <s:t>Terminal value</s:t>
        </s:is>
      </s:c>
      <s:c r="B7" s="4">
        <s:f>K2*(1+Assumptions!K24)/(K3-Assumptions!K24)</s:f>
        <s:v>129724.41887654812</s:v>
      </s:c>
      <s:c r="C7" s="2" t="n"/>
      <s:c r="D7" s="2" t="n"/>
      <s:c r="E7" s="2" t="n"/>
      <s:c r="F7" s="2" t="n"/>
      <s:c r="G7" s="2" t="n"/>
      <s:c r="H7" s="2" t="n"/>
      <s:c r="I7" s="2" t="n"/>
      <s:c r="J7" s="2" t="n"/>
      <s:c r="K7" s="2" t="n"/>
    </s:row>
    <s:row r="8">
      <s:c r="A8" s="2" t="inlineStr">
        <s:is>
          <s:t>Terminal present value</s:t>
        </s:is>
      </s:c>
      <s:c r="B8" s="5">
        <s:f>B7/K4</s:f>
        <s:v>38182.6447579773</s:v>
      </s:c>
      <s:c r="C8" s="2" t="n"/>
      <s:c r="D8" s="2" t="n"/>
      <s:c r="E8" s="2" t="n"/>
      <s:c r="F8" s="2" t="n"/>
      <s:c r="G8" s="2" t="n"/>
      <s:c r="H8" s="2" t="n"/>
      <s:c r="I8" s="2" t="n"/>
      <s:c r="J8" s="2" t="n"/>
      <s:c r="K8" s="2" t="n"/>
    </s:row>
    <s:row r="9">
      <s:c r="A9" s="2" t="inlineStr">
        <s:is>
          <s:t>Enterprise value</s:t>
        </s:is>
      </s:c>
      <s:c r="B9" s="5">
        <s:f>SUM(B5:K5)+B8</s:f>
        <s:v>66666.83311780605</s:v>
      </s:c>
      <s:c r="C9" s="2" t="n"/>
      <s:c r="D9" s="2" t="n"/>
      <s:c r="E9" s="2" t="n"/>
      <s:c r="F9" s="2" t="n"/>
      <s:c r="G9" s="2" t="n"/>
      <s:c r="H9" s="2" t="n"/>
      <s:c r="I9" s="2" t="n"/>
      <s:c r="J9" s="2" t="n"/>
      <s:c r="K9" s="2" t="n"/>
    </s:row>
    <s:row r="10">
      <s:c r="A10" s="2" t="inlineStr">
        <s:is>
          <s:t>Net cash</s:t>
        </s:is>
      </s:c>
      <s:c r="B10" s="4">
        <s:f>Assumptions!B25</s:f>
        <s:v>-650.0</s:v>
      </s:c>
      <s:c r="C10" s="2" t="n"/>
      <s:c r="D10" s="2" t="n"/>
      <s:c r="E10" s="2" t="n"/>
      <s:c r="F10" s="2" t="n"/>
      <s:c r="G10" s="2" t="n"/>
      <s:c r="H10" s="2" t="n"/>
      <s:c r="I10" s="2" t="n"/>
      <s:c r="J10" s="2" t="n"/>
      <s:c r="K10" s="2" t="n"/>
    </s:row>
    <s:row r="11">
      <s:c r="A11" s="2" t="inlineStr">
        <s:is>
          <s:t>Equity value</s:t>
        </s:is>
      </s:c>
      <s:c r="B11" s="5">
        <s:f>B9+B10</s:f>
        <s:v>66016.83311780605</s:v>
      </s:c>
      <s:c r="C11" s="2" t="n"/>
      <s:c r="D11" s="2" t="n"/>
      <s:c r="E11" s="2" t="n"/>
      <s:c r="F11" s="2" t="n"/>
      <s:c r="G11" s="2" t="n"/>
      <s:c r="H11" s="2" t="n"/>
      <s:c r="I11" s="2" t="n"/>
      <s:c r="J11" s="2" t="n"/>
      <s:c r="K11" s="2" t="n"/>
    </s:row>
    <s:row r="12">
      <s:c r="A12" s="2" t="inlineStr">
        <s:is>
          <s:t>Shares</s:t>
        </s:is>
      </s:c>
      <s:c r="B12" s="4">
        <s:f>Assumptions!B26</s:f>
        <s:v>1500.0</s:v>
      </s:c>
      <s:c r="C12" s="2" t="n"/>
      <s:c r="D12" s="2" t="n"/>
      <s:c r="E12" s="2" t="n"/>
      <s:c r="F12" s="2" t="n"/>
      <s:c r="G12" s="2" t="n"/>
      <s:c r="H12" s="2" t="n"/>
      <s:c r="I12" s="2" t="n"/>
      <s:c r="J12" s="2" t="n"/>
      <s:c r="K12" s="2" t="n"/>
    </s:row>
    <s:row r="13">
      <s:c r="A13" s="2" t="inlineStr">
        <s:is>
          <s:t>Per-share value</s:t>
        </s:is>
      </s:c>
      <s:c r="B13" s="5">
        <s:f>B11/B12</s:f>
        <s:v>44.011222078537365</s:v>
      </s:c>
      <s:c r="C13" s="2" t="n"/>
      <s:c r="D13" s="2" t="n"/>
      <s:c r="E13" s="2" t="n"/>
      <s:c r="F13" s="2" t="n"/>
      <s:c r="G13" s="2" t="n"/>
      <s:c r="H13" s="2" t="n"/>
      <s:c r="I13" s="2" t="n"/>
      <s:c r="J13" s="2" t="n"/>
      <s:c r="K13" s="2" t="n"/>
    </s:row>
    <s:row r="14">
      <s:c r="A14" s="2" t="inlineStr">
        <s:is>
          <s:t>Terminal weight</s:t>
        </s:is>
      </s:c>
      <s:c r="B14" s="5">
        <s:f>B8/B9</s:f>
        <s:v>0.5727382413756669</s:v>
      </s:c>
      <s:c r="C14" s="2" t="n"/>
      <s:c r="D14" s="2" t="n"/>
      <s:c r="E14" s="2" t="n"/>
      <s:c r="F14" s="2" t="n"/>
      <s:c r="G14" s="2" t="n"/>
      <s:c r="H14" s="2" t="n"/>
      <s:c r="I14" s="2" t="n"/>
      <s:c r="J14" s="2" t="n"/>
      <s:c r="K14" s="2" t="n"/>
    </s:row>
  </s:sheetData>
  <s:autoFilter ref="A1:A1"/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C1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  <s:col width="18" customWidth="1" min="8" max="8"/>
    <s:col width="18" customWidth="1" min="9" max="9"/>
    <s:col width="18" customWidth="1" min="10" max="10"/>
    <s:col width="18" customWidth="1" min="11" max="11"/>
  </s:cols>
  <s:sheetData>
    <s:row r="1">
      <s:c r="A1" s="1" t="inlineStr">
        <s:is>
          <s:t>period</s:t>
        </s:is>
      </s:c>
      <s:c r="B1" s="1" t="inlineStr">
        <s:is>
          <s:t>line</s:t>
        </s:is>
      </s:c>
      <s:c r="C1" s="1" t="inlineStr">
        <s:is>
          <s:t>value</s:t>
        </s:is>
      </s:c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D8D"/>
  <s:autoFilter ref="A1:C1"/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burr</dc:creator>
  <dc:title>three_stage — base</dc:title>
  <dcterms:created xsi:type="dcterms:W3CDTF">2000-01-01T00:00:00Z</dcterms:created>
  <dcterms:modified xsi:type="dcterms:W3CDTF">2000-01-01T00:00:00Z</dcterms:modified>
</cp:coreProperties>
</file>