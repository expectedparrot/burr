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2" authorId="0" shapeId="0">
      <text>
        <t>rationale: Historical workbook illustration, not current company guidance. Direct source assumption.
source: fcffst.xls!NewFCFFStableGrowth!D34</t>
      </text>
    </comment>
    <comment ref="A3" authorId="0" shapeId="0">
      <text>
        <t>rationale: Historical workbook illustration, not current company guidance. Direct source assumption.
source: fcffst.xls!NewFCFFStableGrowth!F28</t>
      </text>
    </comment>
    <comment ref="A4" authorId="0" shapeId="0">
      <text>
        <t>rationale: Historical workbook illustration, not current company guidance. Direct source assumption.
source: fcffst.xls!NewFCFFStableGrowth!D38</t>
      </text>
    </comment>
    <comment ref="A5" authorId="0" shapeId="0">
      <text>
        <t>rationale: Historical workbook illustration, not current company guidance. Direct source assumption.
source: fcffst.xls!NewFCFFStableGrowth!D29</t>
      </text>
    </comment>
    <comment ref="A6" authorId="0" shapeId="0">
      <text>
        <t>rationale: Historical workbook illustration, not current company guidance. Direct source assumption.
source: fcffst.xls!NewFCFFStableGrowth!D25</t>
      </text>
    </comment>
    <comment ref="A7" authorId="0" shapeId="0">
      <text>
        <t>rationale: Historical workbook illustration, not current company guidance. Direct source assumption.
source: fcffst.xls!NewFCFFStableGrowth!D21</t>
      </text>
    </comment>
    <comment ref="A8" authorId="0" shapeId="0">
      <text>
        <t>rationale: Historical workbook illustration, not current company guidance. Direct source assumption.
source: fcffst.xls!NewFCFFStableGrowth!D36</t>
      </text>
    </comment>
    <comment ref="A9" authorId="0" shapeId="0">
      <text>
        <t>rationale: Historical workbook illustration, not current company guidance. Direct source assumption.
source: fcffst.xls!NewFCFFStableGrowth!D35</t>
      </text>
    </comment>
    <comment ref="A10" authorId="0" shapeId="0">
      <text>
        <t>rationale: Historical workbook illustration, not current company guidance. Direct source assumption.
source: fcffst.xls!NewFCFFStableGrowth!D40</t>
      </text>
    </comment>
    <comment ref="A11" authorId="0" shapeId="0">
      <text>
        <t>rationale: Historical workbook illustration, not current company guidance. Direct source assumption.
source: fcffst.xls!NewFCFFStableGrowth!D22</t>
      </text>
    </comment>
    <comment ref="A12" authorId="0" shapeId="0">
      <text>
        <t>rationale: Historical workbook illustration, not current company guidance. Direct source assumption.
source: fcffst.xls!NewFCFFStableGrowth!D26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16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</s:cols>
  <s:sheetData>
    <s:row r="1">
      <s:c r="A1" s="1" t="inlineStr">
        <s:is>
          <s:t>Line</s:t>
        </s:is>
      </s:c>
      <s:c r="B1" s="1" t="n">
        <s:v>1</s:v>
      </s:c>
    </s:row>
    <s:row r="2">
      <s:c r="A2" s="2" t="inlineStr">
        <s:is>
          <s:t>beta</s:t>
        </s:is>
      </s:c>
      <s:c r="B2" s="3" t="n">
        <s:v>1.1</s:v>
      </s:c>
    </s:row>
    <s:row r="3">
      <s:c r="A3" s="2" t="inlineStr">
        <s:is>
          <s:t>capex_depreciation_ratio</s:t>
        </s:is>
      </s:c>
      <s:c r="B3" s="3" t="n">
        <s:v>1.25</s:v>
      </s:c>
    </s:row>
    <s:row r="4">
      <s:c r="A4" s="2" t="inlineStr">
        <s:is>
          <s:t>debt_cost</s:t>
        </s:is>
      </s:c>
      <s:c r="B4" s="3" t="n">
        <s:v>0.08500000000000001</s:v>
      </s:c>
    </s:row>
    <s:row r="5">
      <s:c r="A5" s="2" t="inlineStr">
        <s:is>
          <s:t>debt_weight</s:t>
        </s:is>
      </s:c>
      <s:c r="B5" s="3" t="n">
        <s:v>0.2997</s:v>
      </s:c>
    </s:row>
    <s:row r="6">
      <s:c r="A6" s="2" t="inlineStr">
        <s:is>
          <s:t>depreciation0</s:t>
        </s:is>
      </s:c>
      <s:c r="B6" s="3" t="n">
        <s:v>400</s:v>
      </s:c>
    </s:row>
    <s:row r="7">
      <s:c r="A7" s="2" t="inlineStr">
        <s:is>
          <s:t>ebit0</s:t>
        </s:is>
      </s:c>
      <s:c r="B7" s="3" t="n">
        <s:v>1535</s:v>
      </s:c>
    </s:row>
    <s:row r="8">
      <s:c r="A8" s="2" t="inlineStr">
        <s:is>
          <s:t>risk_premium</s:t>
        </s:is>
      </s:c>
      <s:c r="B8" s="3" t="n">
        <s:v>0.055</s:v>
      </s:c>
    </s:row>
    <s:row r="9">
      <s:c r="A9" s="2" t="inlineStr">
        <s:is>
          <s:t>riskfree</s:t>
        </s:is>
      </s:c>
      <s:c r="B9" s="3" t="n">
        <s:v>0.07000000000000001</s:v>
      </s:c>
    </s:row>
    <s:row r="10">
      <s:c r="A10" s="2" t="inlineStr">
        <s:is>
          <s:t>stable_growth</s:t>
        </s:is>
      </s:c>
      <s:c r="B10" s="3" t="n">
        <s:v>0.05</s:v>
      </s:c>
    </s:row>
    <s:row r="11">
      <s:c r="A11" s="2" t="inlineStr">
        <s:is>
          <s:t>tax_rate</s:t>
        </s:is>
      </s:c>
      <s:c r="B11" s="3" t="n">
        <s:v>0.36</s:v>
      </s:c>
    </s:row>
    <s:row r="12">
      <s:c r="A12" s="2" t="inlineStr">
        <s:is>
          <s:t>working_capital_change0</s:t>
        </s:is>
      </s:c>
      <s:c r="B12" s="3" t="n">
        <s:v>160</s:v>
      </s:c>
    </s:row>
    <s:row r="13">
      <s:c r="A13" s="2" t="inlineStr">
        <s:is>
          <s:t>valuation.wacc</s:t>
        </s:is>
      </s:c>
      <s:c r="B13" s="4">
        <s:f>Model!B8</s:f>
        <s:v>0.10769282999999999</s:v>
      </s:c>
    </s:row>
    <s:row r="14">
      <s:c r="A14" s="2" t="inlineStr">
        <s:is>
          <s:t>valuation.terminal_growth</s:t>
        </s:is>
      </s:c>
      <s:c r="B14" s="4">
        <s:f>Assumptions!B10</s:f>
        <s:v>0.05</s:v>
      </s:c>
    </s:row>
    <s:row r="15">
      <s:c r="A15" s="2" t="inlineStr">
        <s:is>
          <s:t>valuation.net_cash</s:t>
        </s:is>
      </s:c>
      <s:c r="B15" s="3" t="n">
        <s:v>0</s:v>
      </s:c>
    </s:row>
    <s:row r="16">
      <s:c r="A16" s="2" t="inlineStr">
        <s:is>
          <s:t>valuation.shares</s:t>
        </s:is>
      </s:c>
      <s:c r="B16" s="3" t="n">
        <s:v>1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10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</s:cols>
  <s:sheetData>
    <s:row r="1">
      <s:c r="A1" s="1" t="inlineStr">
        <s:is>
          <s:t>Line</s:t>
        </s:is>
      </s:c>
      <s:c r="B1" s="1" t="n">
        <s:v>1</s:v>
      </s:c>
    </s:row>
    <s:row r="2">
      <s:c r="A2" s="2" t="inlineStr">
        <s:is>
          <s:t>after_tax_debt_cost</s:t>
        </s:is>
      </s:c>
      <s:c r="B2" s="4">
        <s:f>(Assumptions!B4*(1-Assumptions!B11))</s:f>
        <s:v>0.054400000000000004</s:v>
      </s:c>
    </s:row>
    <s:row r="3">
      <s:c r="A3" s="2" t="inlineStr">
        <s:is>
          <s:t>cost_of_equity</s:t>
        </s:is>
      </s:c>
      <s:c r="B3" s="4">
        <s:f>(Assumptions!B9+(Assumptions!B2*Assumptions!B8))</s:f>
        <s:v>0.1305</s:v>
      </s:c>
    </s:row>
    <s:row r="4">
      <s:c r="A4" s="2" t="inlineStr">
        <s:is>
          <s:t>fcff</s:t>
        </s:is>
      </s:c>
      <s:c r="B4" s="5">
        <s:f>(B5*(1*B10))</s:f>
        <s:v>758.52</s:v>
      </s:c>
    </s:row>
    <s:row r="5">
      <s:c r="A5" s="2" t="inlineStr">
        <s:is>
          <s:t>fcff_current</s:t>
        </s:is>
      </s:c>
      <s:c r="B5" s="5">
        <s:f>((B7-B6)-B9)</s:f>
        <s:v>722.4</s:v>
      </s:c>
    </s:row>
    <s:row r="6">
      <s:c r="A6" s="2" t="inlineStr">
        <s:is>
          <s:t>net_capex_current</s:t>
        </s:is>
      </s:c>
      <s:c r="B6" s="4">
        <s:f>((Assumptions!B3-1)*Assumptions!B6)</s:f>
        <s:v>100.0</s:v>
      </s:c>
    </s:row>
    <s:row r="7">
      <s:c r="A7" s="2" t="inlineStr">
        <s:is>
          <s:t>nopat_current</s:t>
        </s:is>
      </s:c>
      <s:c r="B7" s="4">
        <s:f>(Assumptions!B7*(1-Assumptions!B11))</s:f>
        <s:v>982.4</s:v>
      </s:c>
    </s:row>
    <s:row r="8">
      <s:c r="A8" s="2" t="inlineStr">
        <s:is>
          <s:t>wacc</s:t>
        </s:is>
      </s:c>
      <s:c r="B8" s="4">
        <s:f>((B3*(1-Assumptions!B5))+(B2*Assumptions!B5))</s:f>
        <s:v>0.10769282999999999</s:v>
      </s:c>
    </s:row>
    <s:row r="9">
      <s:c r="A9" s="2" t="inlineStr">
        <s:is>
          <s:t>working_capital_change_current</s:t>
        </s:is>
      </s:c>
      <s:c r="B9" s="4">
        <s:f>Assumptions!B12</s:f>
        <s:v>160.0</s:v>
      </s:c>
    </s:row>
    <s:row r="10" hidden="1">
      <s:c r="A10" s="2" t="inlineStr">
        <s:is>
          <s:t>_grow_factor_1</s:t>
        </s:is>
      </s:c>
      <s:c r="B10" s="4">
        <s:f>(1*(1+Assumptions!B10))</s:f>
        <s:v>1.05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B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</s:cols>
  <s:sheetData>
    <s:row r="1">
      <s:c r="A1" s="1" t="inlineStr">
        <s:is>
          <s:t>Line</s:t>
        </s:is>
      </s:c>
      <s:c r="B1" s="1" t="n">
        <s:v>1</s:v>
      </s:c>
    </s:row>
    <s:row r="2">
      <s:c r="A2" s="2" t="inlineStr">
        <s:is>
          <s:t>FCF</s:t>
        </s:is>
      </s:c>
      <s:c r="B2" s="4">
        <s:f>Model!B4</s:f>
        <s:v>758.52</s:v>
      </s:c>
    </s:row>
    <s:row r="3">
      <s:c r="A3" s="2" t="inlineStr">
        <s:is>
          <s:t>WACC</s:t>
        </s:is>
      </s:c>
      <s:c r="B3" s="4">
        <s:f>Assumptions!B13</s:f>
        <s:v>0.10769282999999999</s:v>
      </s:c>
    </s:row>
    <s:row r="4">
      <s:c r="A4" s="2" t="inlineStr">
        <s:is>
          <s:t>Discount factor</s:t>
        </s:is>
      </s:c>
      <s:c r="B4" s="5">
        <s:f>1*(1+B3)</s:f>
        <s:v>1.10769283</s:v>
      </s:c>
    </s:row>
    <s:row r="5">
      <s:c r="A5" s="2" t="inlineStr">
        <s:is>
          <s:t>Present value</s:t>
        </s:is>
      </s:c>
      <s:c r="B5" s="5">
        <s:f>B2/B4</s:f>
        <s:v>684.7746771097183</s:v>
      </s:c>
    </s:row>
    <s:row r="6">
      <s:c r="A6" s="2" t="n"/>
      <s:c r="B6" s="2" t="n"/>
    </s:row>
    <s:row r="7">
      <s:c r="A7" s="2" t="inlineStr">
        <s:is>
          <s:t>Terminal value</s:t>
        </s:is>
      </s:c>
      <s:c r="B7" s="4">
        <s:f>B2*(1+Assumptions!B14)/(B3-Assumptions!B14)</s:f>
        <s:v>13804.939019285415</s:v>
      </s:c>
    </s:row>
    <s:row r="8">
      <s:c r="A8" s="2" t="inlineStr">
        <s:is>
          <s:t>Terminal present value</s:t>
        </s:is>
      </s:c>
      <s:c r="B8" s="5">
        <s:f>B7/B4</s:f>
        <s:v>12462.786293638297</s:v>
      </s:c>
    </s:row>
    <s:row r="9">
      <s:c r="A9" s="2" t="inlineStr">
        <s:is>
          <s:t>Enterprise value</s:t>
        </s:is>
      </s:c>
      <s:c r="B9" s="5">
        <s:f>SUM(B5:B5)+B8</s:f>
        <s:v>13147.560970748016</s:v>
      </s:c>
    </s:row>
    <s:row r="10">
      <s:c r="A10" s="2" t="inlineStr">
        <s:is>
          <s:t>Net cash</s:t>
        </s:is>
      </s:c>
      <s:c r="B10" s="4">
        <s:f>Assumptions!B15</s:f>
        <s:v>0.0</s:v>
      </s:c>
    </s:row>
    <s:row r="11">
      <s:c r="A11" s="2" t="inlineStr">
        <s:is>
          <s:t>Equity value</s:t>
        </s:is>
      </s:c>
      <s:c r="B11" s="5">
        <s:f>B9+B10</s:f>
        <s:v>13147.560970748016</s:v>
      </s:c>
    </s:row>
    <s:row r="12">
      <s:c r="A12" s="2" t="inlineStr">
        <s:is>
          <s:t>Shares</s:t>
        </s:is>
      </s:c>
      <s:c r="B12" s="4">
        <s:f>Assumptions!B16</s:f>
        <s:v>1.0</s:v>
      </s:c>
    </s:row>
    <s:row r="13">
      <s:c r="A13" s="2" t="inlineStr">
        <s:is>
          <s:t>Per-share value</s:t>
        </s:is>
      </s:c>
      <s:c r="B13" s="5">
        <s:f>B11/B12</s:f>
        <s:v>13147.560970748016</s:v>
      </s:c>
    </s:row>
    <s:row r="14">
      <s:c r="A14" s="2" t="inlineStr">
        <s:is>
          <s:t>Terminal weight</s:t>
        </s:is>
      </s:c>
      <s:c r="B14" s="5">
        <s:f>B8/B9</s:f>
        <s:v>0.947916219697838</s:v>
      </s:c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1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1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stable — base</dc:title>
  <dcterms:created xsi:type="dcterms:W3CDTF">2000-01-01T00:00:00Z</dcterms:created>
  <dcterms:modified xsi:type="dcterms:W3CDTF">2000-01-01T00:00:00Z</dcterms:modified>
</cp:coreProperties>
</file>