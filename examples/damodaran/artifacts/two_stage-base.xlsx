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del" sheetId="2" state="visible" r:id="rId2"/>
    <sheet name="DCF" sheetId="3" state="visible" r:id="rId3"/>
    <sheet name="Actuals" sheetId="4" state="visible" r:id="rId4"/>
  </sheets>
  <definedNames>
    <definedName name="_xlnm._FilterDatabase" localSheetId="0" hidden="1">'Assumptions'!$A$1:$A$1</definedName>
    <definedName name="_xlnm._FilterDatabase" localSheetId="1" hidden="1">'Model'!$A$1:$A$1</definedName>
    <definedName name="_xlnm._FilterDatabase" localSheetId="2" hidden="1">'DCF'!$A$1:$A$1</definedName>
    <definedName name="_xlnm._FilterDatabase" localSheetId="3" hidden="1">'Actuals'!$A$1:$C$1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;[Red](#,##0.00)"/>
  </numFmts>
  <fonts count="6">
    <font>
      <name val="Calibri"/>
      <family val="2"/>
      <color theme="1"/>
      <sz val="11"/>
      <scheme val="minor"/>
    </font>
    <font>
      <name val="Aptos"/>
      <color rgb="00000000"/>
      <sz val="11"/>
    </font>
    <font>
      <name val="Aptos"/>
      <b val="1"/>
      <color rgb="00FFFFFF"/>
    </font>
    <font>
      <name val="Aptos"/>
      <color rgb="000000FF"/>
    </font>
    <font>
      <name val="Aptos"/>
      <color rgb="00008000"/>
    </font>
    <font>
      <name val="Aptos"/>
      <color rgb="00000000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64" fontId="3" fillId="0" borderId="0" applyProtection="1" pivotButton="0" quotePrefix="0" xfId="0">
      <protection locked="0" hidden="0"/>
    </xf>
    <xf numFmtId="165" fontId="4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burr</author>
  </authors>
  <commentList>
    <comment ref="A2" authorId="0" shapeId="0">
      <text>
        <t>rationale: Historical workbook illustration, not current company guidance. Direct source assumption.
source: fcff2st.xls!NewFCFF2Stage!D52</t>
      </text>
    </comment>
    <comment ref="A3" authorId="0" shapeId="0">
      <text>
        <t>rationale: Historical workbook illustration, not current company guidance. Direct source assumption.
source: fcff2st.xls!NewFCFF2Stage!D22</t>
      </text>
    </comment>
    <comment ref="A4" authorId="0" shapeId="0">
      <text>
        <t>rationale: Historical workbook illustration, not current company guidance. Direct source assumption.
source: fcff2st.xls!NewFCFF2Stage!E56</t>
      </text>
    </comment>
    <comment ref="A5" authorId="0" shapeId="0">
      <text>
        <t>rationale: Historical workbook illustration, not current company guidance. Derived binding from source inputs or structural year weights; see models.py.
source: fcff2st.xls!NewFCFF2Stage; input-only adapter</t>
      </text>
    </comment>
    <comment ref="A6" authorId="0" shapeId="0">
      <text>
        <t>rationale: Historical workbook illustration, not current company guidance. Direct source assumption.
source: fcff2st.xls!NewFCFF2Stage!D23</t>
      </text>
    </comment>
    <comment ref="A7" authorId="0" shapeId="0">
      <text>
        <t>rationale: Historical workbook illustration, not current company guidance. Direct source assumption.
source: fcff2st.xls!NewFCFF2Stage!D20</t>
      </text>
    </comment>
    <comment ref="A8" authorId="0" shapeId="0">
      <text>
        <t>rationale: Historical workbook illustration, not current company guidance. Derived binding from source inputs or structural year weights; see models.py.
source: fcff2st.xls!NewFCFF2Stage; input-only adapter</t>
      </text>
    </comment>
    <comment ref="A9" authorId="0" shapeId="0">
      <text>
        <t>rationale: Historical workbook illustration, not current company guidance. Derived binding from source inputs or structural year weights; see models.py.
source: fcff2st.xls!NewFCFF2Stage; input-only adapter</t>
      </text>
    </comment>
    <comment ref="A10" authorId="0" shapeId="0">
      <text>
        <t>rationale: Historical workbook illustration, not current company guidance. Direct source assumption.
source: fcff2st.xls!NewFCFF2Stage!D25</t>
      </text>
    </comment>
    <comment ref="A11" authorId="0" shapeId="0">
      <text>
        <t>rationale: Historical workbook illustration, not current company guidance. Direct source assumption.
source: fcff2st.xls!NewFCFF2Stage!D54</t>
      </text>
    </comment>
    <comment ref="A12" authorId="0" shapeId="0">
      <text>
        <t>rationale: Historical workbook illustration, not current company guidance. Direct source assumption.
source: fcff2st.xls!NewFCFF2Stage!D53</t>
      </text>
    </comment>
    <comment ref="A13" authorId="0" shapeId="0">
      <text>
        <t>rationale: Historical workbook illustration, not current company guidance. Direct source assumption.
source: fcff2st.xls!NewFCFF2Stage!E79</t>
      </text>
    </comment>
    <comment ref="A14" authorId="0" shapeId="0">
      <text>
        <t>rationale: Historical workbook illustration, not current company guidance. Direct source assumption.
source: fcff2st.xls!NewFCFF2Stage!F101</t>
      </text>
    </comment>
    <comment ref="A15" authorId="0" shapeId="0">
      <text>
        <t>rationale: Historical workbook illustration, not current company guidance. Derived binding from source inputs or structural year weights; see models.py.
source: fcff2st.xls!NewFCFF2Stage; input-only adapter</t>
      </text>
    </comment>
    <comment ref="A16" authorId="0" shapeId="0">
      <text>
        <t>rationale: Historical workbook illustration, not current company guidance. Direct source assumption.
source: fcff2st.xls!NewFCFF2Stage!D24</t>
      </text>
    </comment>
    <comment ref="A17" authorId="0" shapeId="0">
      <text>
        <t>rationale: Historical workbook illustration, not current company guidance. Direct source assumption.
source: fcff2st.xls!NewFCFF2Stage!D26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G21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</s:cols>
  <s:sheetData>
    <s:row r="1">
      <s:c r="A1" s="1" t="inlineStr">
        <s:is>
          <s:t>Line</s:t>
        </s:is>
      </s:c>
      <s:c r="B1" s="1" t="n">
        <s:v>1</s:v>
      </s:c>
      <s:c r="C1" s="1" t="n">
        <s:v>2</s:v>
      </s:c>
      <s:c r="D1" s="1" t="n">
        <s:v>3</s:v>
      </s:c>
      <s:c r="E1" s="1" t="n">
        <s:v>4</s:v>
      </s:c>
      <s:c r="F1" s="1" t="n">
        <s:v>5</s:v>
      </s:c>
      <s:c r="G1" s="1" t="n">
        <s:v>6</s:v>
      </s:c>
    </s:row>
    <s:row r="2">
      <s:c r="A2" s="2" t="inlineStr">
        <s:is>
          <s:t>beta</s:t>
        </s:is>
      </s:c>
      <s:c r="B2" s="3" t="n">
        <s:v>0.8</s:v>
      </s:c>
      <s:c r="C2" s="3" t="n">
        <s:v>0.8</s:v>
      </s:c>
      <s:c r="D2" s="3" t="n">
        <s:v>0.8</s:v>
      </s:c>
      <s:c r="E2" s="3" t="n">
        <s:v>0.8</s:v>
      </s:c>
      <s:c r="F2" s="3" t="n">
        <s:v>0.8</s:v>
      </s:c>
      <s:c r="G2" s="3" t="n">
        <s:v>0.8</s:v>
      </s:c>
    </s:row>
    <s:row r="3">
      <s:c r="A3" s="2" t="inlineStr">
        <s:is>
          <s:t>capex0</s:t>
        </s:is>
      </s:c>
      <s:c r="B3" s="3" t="n">
        <s:v>2152</s:v>
      </s:c>
      <s:c r="C3" s="3" t="n">
        <s:v>2152</s:v>
      </s:c>
      <s:c r="D3" s="3" t="n">
        <s:v>2152</s:v>
      </s:c>
      <s:c r="E3" s="3" t="n">
        <s:v>2152</s:v>
      </s:c>
      <s:c r="F3" s="3" t="n">
        <s:v>2152</s:v>
      </s:c>
      <s:c r="G3" s="3" t="n">
        <s:v>2152</s:v>
      </s:c>
    </s:row>
    <s:row r="4">
      <s:c r="A4" s="2" t="inlineStr">
        <s:is>
          <s:t>debt_cost</s:t>
        </s:is>
      </s:c>
      <s:c r="B4" s="3" t="n">
        <s:v>0.055</s:v>
      </s:c>
      <s:c r="C4" s="3" t="n">
        <s:v>0.055</s:v>
      </s:c>
      <s:c r="D4" s="3" t="n">
        <s:v>0.055</s:v>
      </s:c>
      <s:c r="E4" s="3" t="n">
        <s:v>0.055</s:v>
      </s:c>
      <s:c r="F4" s="3" t="n">
        <s:v>0.055</s:v>
      </s:c>
      <s:c r="G4" s="3" t="n">
        <s:v>0.055</s:v>
      </s:c>
    </s:row>
    <s:row r="5">
      <s:c r="A5" s="2" t="inlineStr">
        <s:is>
          <s:t>debt_weight</s:t>
        </s:is>
      </s:c>
      <s:c r="B5" s="3" t="n">
        <s:v>0.01440145038888066</s:v>
      </s:c>
      <s:c r="C5" s="3" t="n">
        <s:v>0.01440145038888066</s:v>
      </s:c>
      <s:c r="D5" s="3" t="n">
        <s:v>0.01440145038888066</s:v>
      </s:c>
      <s:c r="E5" s="3" t="n">
        <s:v>0.01440145038888066</s:v>
      </s:c>
      <s:c r="F5" s="3" t="n">
        <s:v>0.01440145038888066</s:v>
      </s:c>
      <s:c r="G5" s="3" t="n">
        <s:v>0.01440145038888066</s:v>
      </s:c>
    </s:row>
    <s:row r="6">
      <s:c r="A6" s="2" t="inlineStr">
        <s:is>
          <s:t>depreciation0</s:t>
        </s:is>
      </s:c>
      <s:c r="B6" s="3" t="n">
        <s:v>1228</s:v>
      </s:c>
      <s:c r="C6" s="3" t="n">
        <s:v>1228</s:v>
      </s:c>
      <s:c r="D6" s="3" t="n">
        <s:v>1228</s:v>
      </s:c>
      <s:c r="E6" s="3" t="n">
        <s:v>1228</s:v>
      </s:c>
      <s:c r="F6" s="3" t="n">
        <s:v>1228</s:v>
      </s:c>
      <s:c r="G6" s="3" t="n">
        <s:v>1228</s:v>
      </s:c>
    </s:row>
    <s:row r="7">
      <s:c r="A7" s="2" t="inlineStr">
        <s:is>
          <s:t>ebit0</s:t>
        </s:is>
      </s:c>
      <s:c r="B7" s="3" t="n">
        <s:v>5186</s:v>
      </s:c>
      <s:c r="C7" s="3" t="n">
        <s:v>5186</s:v>
      </s:c>
      <s:c r="D7" s="3" t="n">
        <s:v>5186</s:v>
      </s:c>
      <s:c r="E7" s="3" t="n">
        <s:v>5186</s:v>
      </s:c>
      <s:c r="F7" s="3" t="n">
        <s:v>5186</s:v>
      </s:c>
      <s:c r="G7" s="3" t="n">
        <s:v>5186</s:v>
      </s:c>
    </s:row>
    <s:row r="8">
      <s:c r="A8" s="2" t="inlineStr">
        <s:is>
          <s:t>growth_profile</s:t>
        </s:is>
      </s:c>
      <s:c r="B8" s="3" t="n">
        <s:v>0.1056343255883008</s:v>
      </s:c>
      <s:c r="C8" s="3" t="n">
        <s:v>0.1056343255883008</s:v>
      </s:c>
      <s:c r="D8" s="3" t="n">
        <s:v>0.1056343255883008</s:v>
      </s:c>
      <s:c r="E8" s="3" t="n">
        <s:v>0.1056343255883008</s:v>
      </s:c>
      <s:c r="F8" s="3" t="n">
        <s:v>0.1056343255883008</s:v>
      </s:c>
      <s:c r="G8" s="3" t="n">
        <s:v>0.06</s:v>
      </s:c>
    </s:row>
    <s:row r="9">
      <s:c r="A9" s="2" t="inlineStr">
        <s:is>
          <s:t>high_growth</s:t>
        </s:is>
      </s:c>
      <s:c r="B9" s="3" t="n">
        <s:v>0.1056343255883008</s:v>
      </s:c>
      <s:c r="C9" s="3" t="n">
        <s:v>0.1056343255883008</s:v>
      </s:c>
      <s:c r="D9" s="3" t="n">
        <s:v>0.1056343255883008</s:v>
      </s:c>
      <s:c r="E9" s="3" t="n">
        <s:v>0.1056343255883008</s:v>
      </s:c>
      <s:c r="F9" s="3" t="n">
        <s:v>0.1056343255883008</s:v>
      </s:c>
      <s:c r="G9" s="3" t="n">
        <s:v>0.1056343255883008</s:v>
      </s:c>
    </s:row>
    <s:row r="10">
      <s:c r="A10" s="2" t="inlineStr">
        <s:is>
          <s:t>revenue0</s:t>
        </s:is>
      </s:c>
      <s:c r="B10" s="3" t="n">
        <s:v>16701</s:v>
      </s:c>
      <s:c r="C10" s="3" t="n">
        <s:v>16701</s:v>
      </s:c>
      <s:c r="D10" s="3" t="n">
        <s:v>16701</s:v>
      </s:c>
      <s:c r="E10" s="3" t="n">
        <s:v>16701</s:v>
      </s:c>
      <s:c r="F10" s="3" t="n">
        <s:v>16701</s:v>
      </s:c>
      <s:c r="G10" s="3" t="n">
        <s:v>16701</s:v>
      </s:c>
    </s:row>
    <s:row r="11">
      <s:c r="A11" s="2" t="inlineStr">
        <s:is>
          <s:t>risk_premium</s:t>
        </s:is>
      </s:c>
      <s:c r="B11" s="3" t="n">
        <s:v>0.055</s:v>
      </s:c>
      <s:c r="C11" s="3" t="n">
        <s:v>0.055</s:v>
      </s:c>
      <s:c r="D11" s="3" t="n">
        <s:v>0.055</s:v>
      </s:c>
      <s:c r="E11" s="3" t="n">
        <s:v>0.055</s:v>
      </s:c>
      <s:c r="F11" s="3" t="n">
        <s:v>0.055</s:v>
      </s:c>
      <s:c r="G11" s="3" t="n">
        <s:v>0.055</s:v>
      </s:c>
    </s:row>
    <s:row r="12">
      <s:c r="A12" s="2" t="inlineStr">
        <s:is>
          <s:t>riskfree</s:t>
        </s:is>
      </s:c>
      <s:c r="B12" s="3" t="n">
        <s:v>0.053</s:v>
      </s:c>
      <s:c r="C12" s="3" t="n">
        <s:v>0.053</s:v>
      </s:c>
      <s:c r="D12" s="3" t="n">
        <s:v>0.053</s:v>
      </s:c>
      <s:c r="E12" s="3" t="n">
        <s:v>0.053</s:v>
      </s:c>
      <s:c r="F12" s="3" t="n">
        <s:v>0.053</s:v>
      </s:c>
      <s:c r="G12" s="3" t="n">
        <s:v>0.053</s:v>
      </s:c>
    </s:row>
    <s:row r="13">
      <s:c r="A13" s="2" t="inlineStr">
        <s:is>
          <s:t>stable_growth</s:t>
        </s:is>
      </s:c>
      <s:c r="B13" s="3" t="n">
        <s:v>0.06</s:v>
      </s:c>
      <s:c r="C13" s="3" t="n">
        <s:v>0.06</s:v>
      </s:c>
      <s:c r="D13" s="3" t="n">
        <s:v>0.06</s:v>
      </s:c>
      <s:c r="E13" s="3" t="n">
        <s:v>0.06</s:v>
      </s:c>
      <s:c r="F13" s="3" t="n">
        <s:v>0.06</s:v>
      </s:c>
      <s:c r="G13" s="3" t="n">
        <s:v>0.06</s:v>
      </s:c>
    </s:row>
    <s:row r="14">
      <s:c r="A14" s="2" t="inlineStr">
        <s:is>
          <s:t>stable_roc</s:t>
        </s:is>
      </s:c>
      <s:c r="B14" s="3" t="n">
        <s:v>0.12</s:v>
      </s:c>
      <s:c r="C14" s="3" t="n">
        <s:v>0.12</s:v>
      </s:c>
      <s:c r="D14" s="3" t="n">
        <s:v>0.12</s:v>
      </s:c>
      <s:c r="E14" s="3" t="n">
        <s:v>0.12</s:v>
      </s:c>
      <s:c r="F14" s="3" t="n">
        <s:v>0.12</s:v>
      </s:c>
      <s:c r="G14" s="3" t="n">
        <s:v>0.12</s:v>
      </s:c>
    </s:row>
    <s:row r="15">
      <s:c r="A15" s="2" t="inlineStr">
        <s:is>
          <s:t>stable_weight</s:t>
        </s:is>
      </s:c>
      <s:c r="B15" s="3" t="n">
        <s:v>0</s:v>
      </s:c>
      <s:c r="C15" s="3" t="n">
        <s:v>0</s:v>
      </s:c>
      <s:c r="D15" s="3" t="n">
        <s:v>0</s:v>
      </s:c>
      <s:c r="E15" s="3" t="n">
        <s:v>0</s:v>
      </s:c>
      <s:c r="F15" s="3" t="n">
        <s:v>0</s:v>
      </s:c>
      <s:c r="G15" s="3" t="n">
        <s:v>1</s:v>
      </s:c>
    </s:row>
    <s:row r="16">
      <s:c r="A16" s="2" t="inlineStr">
        <s:is>
          <s:t>tax_rate</s:t>
        </s:is>
      </s:c>
      <s:c r="B16" s="3" t="n">
        <s:v>0.2849</s:v>
      </s:c>
      <s:c r="C16" s="3" t="n">
        <s:v>0.2849</s:v>
      </s:c>
      <s:c r="D16" s="3" t="n">
        <s:v>0.2849</s:v>
      </s:c>
      <s:c r="E16" s="3" t="n">
        <s:v>0.2849</s:v>
      </s:c>
      <s:c r="F16" s="3" t="n">
        <s:v>0.2849</s:v>
      </s:c>
      <s:c r="G16" s="3" t="n">
        <s:v>0.2849</s:v>
      </s:c>
    </s:row>
    <s:row r="17">
      <s:c r="A17" s="2" t="inlineStr">
        <s:is>
          <s:t>working_capital0</s:t>
        </s:is>
      </s:c>
      <s:c r="B17" s="3" t="n">
        <s:v>3755</s:v>
      </s:c>
      <s:c r="C17" s="3" t="n">
        <s:v>3755</s:v>
      </s:c>
      <s:c r="D17" s="3" t="n">
        <s:v>3755</s:v>
      </s:c>
      <s:c r="E17" s="3" t="n">
        <s:v>3755</s:v>
      </s:c>
      <s:c r="F17" s="3" t="n">
        <s:v>3755</s:v>
      </s:c>
      <s:c r="G17" s="3" t="n">
        <s:v>3755</s:v>
      </s:c>
    </s:row>
    <s:row r="18">
      <s:c r="A18" s="2" t="inlineStr">
        <s:is>
          <s:t>valuation.wacc</s:t>
        </s:is>
      </s:c>
      <s:c r="B18" s="4">
        <s:f>Model!B15</s:f>
        <s:v>0.09616947555679846</s:v>
      </s:c>
      <s:c r="C18" s="4">
        <s:f>Model!C15</s:f>
        <s:v>0.09616947555679846</s:v>
      </s:c>
      <s:c r="D18" s="4">
        <s:f>Model!D15</s:f>
        <s:v>0.09616947555679846</s:v>
      </s:c>
      <s:c r="E18" s="4">
        <s:f>Model!E15</s:f>
        <s:v>0.09616947555679846</s:v>
      </s:c>
      <s:c r="F18" s="4">
        <s:f>Model!F15</s:f>
        <s:v>0.09616947555679846</s:v>
      </s:c>
      <s:c r="G18" s="4">
        <s:f>Model!G15</s:f>
        <s:v>0.09616947555679846</s:v>
      </s:c>
    </s:row>
    <s:row r="19">
      <s:c r="A19" s="2" t="inlineStr">
        <s:is>
          <s:t>valuation.terminal_growth</s:t>
        </s:is>
      </s:c>
      <s:c r="B19" s="4">
        <s:f>Assumptions!B13</s:f>
        <s:v>0.06</s:v>
      </s:c>
      <s:c r="C19" s="4">
        <s:f>Assumptions!C13</s:f>
        <s:v>0.06</s:v>
      </s:c>
      <s:c r="D19" s="4">
        <s:f>Assumptions!D13</s:f>
        <s:v>0.06</s:v>
      </s:c>
      <s:c r="E19" s="4">
        <s:f>Assumptions!E13</s:f>
        <s:v>0.06</s:v>
      </s:c>
      <s:c r="F19" s="4">
        <s:f>Assumptions!F13</s:f>
        <s:v>0.06</s:v>
      </s:c>
      <s:c r="G19" s="4">
        <s:f>Assumptions!G13</s:f>
        <s:v>0.06</s:v>
      </s:c>
    </s:row>
    <s:row r="20">
      <s:c r="A20" s="2" t="inlineStr">
        <s:is>
          <s:t>valuation.net_cash</s:t>
        </s:is>
      </s:c>
      <s:c r="B20" s="3" t="n">
        <s:v>-2822</s:v>
      </s:c>
      <s:c r="C20" s="3" t="n">
        <s:v>-2822</s:v>
      </s:c>
      <s:c r="D20" s="3" t="n">
        <s:v>-2822</s:v>
      </s:c>
      <s:c r="E20" s="3" t="n">
        <s:v>-2822</s:v>
      </s:c>
      <s:c r="F20" s="3" t="n">
        <s:v>-2822</s:v>
      </s:c>
      <s:c r="G20" s="3" t="n">
        <s:v>-2822</s:v>
      </s:c>
    </s:row>
    <s:row r="21">
      <s:c r="A21" s="2" t="inlineStr">
        <s:is>
          <s:t>valuation.shares</s:t>
        </s:is>
      </s:c>
      <s:c r="B21" s="3" t="n">
        <s:v>993.5700000000001</s:v>
      </s:c>
      <s:c r="C21" s="3" t="n">
        <s:v>993.5700000000001</s:v>
      </s:c>
      <s:c r="D21" s="3" t="n">
        <s:v>993.5700000000001</s:v>
      </s:c>
      <s:c r="E21" s="3" t="n">
        <s:v>993.5700000000001</s:v>
      </s:c>
      <s:c r="F21" s="3" t="n">
        <s:v>993.5700000000001</s:v>
      </s:c>
      <s:c r="G21" s="3" t="n">
        <s:v>993.5700000000001</s:v>
      </s:c>
    </s:row>
  </s:sheetData>
  <s:autoFilter ref="A1:A1"/>
  <s:pageMargins left="0.75" right="0.75" top="1" bottom="1" header="0.5" footer="0.5"/>
  <s:legacyDrawing r:id="anysvml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G22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</s:cols>
  <s:sheetData>
    <s:row r="1">
      <s:c r="A1" s="1" t="inlineStr">
        <s:is>
          <s:t>Line</s:t>
        </s:is>
      </s:c>
      <s:c r="B1" s="1" t="n">
        <s:v>1</s:v>
      </s:c>
      <s:c r="C1" s="1" t="n">
        <s:v>2</s:v>
      </s:c>
      <s:c r="D1" s="1" t="n">
        <s:v>3</s:v>
      </s:c>
      <s:c r="E1" s="1" t="n">
        <s:v>4</s:v>
      </s:c>
      <s:c r="F1" s="1" t="n">
        <s:v>5</s:v>
      </s:c>
      <s:c r="G1" s="1" t="n">
        <s:v>6</s:v>
      </s:c>
    </s:row>
    <s:row r="2">
      <s:c r="A2" s="2" t="inlineStr">
        <s:is>
          <s:t>after_tax_debt_cost</s:t>
        </s:is>
      </s:c>
      <s:c r="B2" s="4">
        <s:f>(Assumptions!B4*(1-Assumptions!B16))</s:f>
        <s:v>0.039330500000000004</s:v>
      </s:c>
      <s:c r="C2" s="4">
        <s:f>(Assumptions!C4*(1-Assumptions!C16))</s:f>
        <s:v>0.039330500000000004</s:v>
      </s:c>
      <s:c r="D2" s="4">
        <s:f>(Assumptions!D4*(1-Assumptions!D16))</s:f>
        <s:v>0.039330500000000004</s:v>
      </s:c>
      <s:c r="E2" s="4">
        <s:f>(Assumptions!E4*(1-Assumptions!E16))</s:f>
        <s:v>0.039330500000000004</s:v>
      </s:c>
      <s:c r="F2" s="4">
        <s:f>(Assumptions!F4*(1-Assumptions!F16))</s:f>
        <s:v>0.039330500000000004</s:v>
      </s:c>
      <s:c r="G2" s="4">
        <s:f>(Assumptions!G4*(1-Assumptions!G16))</s:f>
        <s:v>0.039330500000000004</s:v>
      </s:c>
    </s:row>
    <s:row r="3">
      <s:c r="A3" s="2" t="inlineStr">
        <s:is>
          <s:t>cost_of_equity</s:t>
        </s:is>
      </s:c>
      <s:c r="B3" s="4">
        <s:f>(Assumptions!B12+(Assumptions!B2*Assumptions!B11))</s:f>
        <s:v>0.097</s:v>
      </s:c>
      <s:c r="C3" s="4">
        <s:f>(Assumptions!C12+(Assumptions!C2*Assumptions!C11))</s:f>
        <s:v>0.097</s:v>
      </s:c>
      <s:c r="D3" s="4">
        <s:f>(Assumptions!D12+(Assumptions!D2*Assumptions!D11))</s:f>
        <s:v>0.097</s:v>
      </s:c>
      <s:c r="E3" s="4">
        <s:f>(Assumptions!E12+(Assumptions!E2*Assumptions!E11))</s:f>
        <s:v>0.097</s:v>
      </s:c>
      <s:c r="F3" s="4">
        <s:f>(Assumptions!F12+(Assumptions!F2*Assumptions!F11))</s:f>
        <s:v>0.097</s:v>
      </s:c>
      <s:c r="G3" s="4">
        <s:f>(Assumptions!G12+(Assumptions!G2*Assumptions!G11))</s:f>
        <s:v>0.097</s:v>
      </s:c>
    </s:row>
    <s:row r="4">
      <s:c r="A4" s="2" t="inlineStr">
        <s:is>
          <s:t>debt_ratio</s:t>
        </s:is>
      </s:c>
      <s:c r="B4" s="4">
        <s:f>Assumptions!B5</s:f>
        <s:v>0.01440145038888066</s:v>
      </s:c>
      <s:c r="C4" s="4">
        <s:f>Assumptions!C5</s:f>
        <s:v>0.01440145038888066</s:v>
      </s:c>
      <s:c r="D4" s="4">
        <s:f>Assumptions!D5</s:f>
        <s:v>0.01440145038888066</s:v>
      </s:c>
      <s:c r="E4" s="4">
        <s:f>Assumptions!E5</s:f>
        <s:v>0.01440145038888066</s:v>
      </s:c>
      <s:c r="F4" s="4">
        <s:f>Assumptions!F5</s:f>
        <s:v>0.01440145038888066</s:v>
      </s:c>
      <s:c r="G4" s="4">
        <s:f>Assumptions!G5</s:f>
        <s:v>0.01440145038888066</s:v>
      </s:c>
    </s:row>
    <s:row r="5">
      <s:c r="A5" s="2" t="inlineStr">
        <s:is>
          <s:t>depreciation</s:t>
        </s:is>
      </s:c>
      <s:c r="B5" s="4">
        <s:f>(Assumptions!B6*B18)</s:f>
        <s:v>1357.7189518224334</s:v>
      </s:c>
      <s:c r="C5" s="4">
        <s:f>(Assumptions!B6*C18)</s:f>
        <s:v>1501.140677636651</s:v>
      </s:c>
      <s:c r="D5" s="4">
        <s:f>(Assumptions!B6*D18)</s:f>
        <s:v>1659.7126607319633</s:v>
      </s:c>
      <s:c r="E5" s="4">
        <s:f>(Assumptions!B6*E18)</s:f>
        <s:v>1835.0352883187484</s:v>
      </s:c>
      <s:c r="F5" s="4">
        <s:f>(Assumptions!B6*F18)</s:f>
        <s:v>2028.8780034310325</s:v>
      </s:c>
      <s:c r="G5" s="4">
        <s:f>(Assumptions!B6*G18)</s:f>
        <s:v>2150.6106836368945</s:v>
      </s:c>
    </s:row>
    <s:row r="6">
      <s:c r="A6" s="2" t="inlineStr">
        <s:is>
          <s:t>discount_factor</s:t>
        </s:is>
      </s:c>
      <s:c r="B6" s="5">
        <s:f>(1*B19)</s:f>
        <s:v>1.0961694755567986</s:v>
      </s:c>
      <s:c r="C6" s="5">
        <s:f>(1*C19)</s:f>
        <s:v>1.2015875191424668</s:v>
      </s:c>
      <s:c r="D6" s="5">
        <s:f>(1*D19)</s:f>
        <s:v>1.3171435606939925</s:v>
      </s:c>
      <s:c r="E6" s="5">
        <s:f>(1*E19)</s:f>
        <s:v>1.443812566158948</s:v>
      </s:c>
      <s:c r="F6" s="5">
        <s:f>(1*F19)</s:f>
        <s:v>1.5826632634487696</s:v>
      </s:c>
      <s:c r="G6" s="5">
        <s:f>(1*G19)</s:f>
        <s:v>1.734867159477649</s:v>
      </s:c>
    </s:row>
    <s:row r="7">
      <s:c r="A7" s="2" t="inlineStr">
        <s:is>
          <s:t>ebit</s:t>
        </s:is>
      </s:c>
      <s:c r="B7" s="4">
        <s:f>(Assumptions!B7*B20)</s:f>
        <s:v>5733.819612500928</s:v>
      </s:c>
      <s:c r="C7" s="4">
        <s:f>(Assumptions!B7*C20)</s:f>
        <s:v>6339.507780312436</s:v>
      </s:c>
      <s:c r="D7" s="4">
        <s:f>(Assumptions!B7*D20)</s:f>
        <s:v>7009.177409247526</s:v>
      </s:c>
      <s:c r="E7" s="4">
        <s:f>(Assumptions!B7*E20)</s:f>
        <s:v>7749.587137802141</s:v>
      </s:c>
      <s:c r="F7" s="4">
        <s:f>(Assumptions!B7*F20)</s:f>
        <s:v>8568.20954869164</s:v>
      </s:c>
      <s:c r="G7" s="4">
        <s:f>(Assumptions!B7*G20)</s:f>
        <s:v>9082.30212161314</s:v>
      </s:c>
    </s:row>
    <s:row r="8">
      <s:c r="A8" s="2" t="inlineStr">
        <s:is>
          <s:t>fcff</s:t>
        </s:is>
      </s:c>
      <s:c r="B8" s="5">
        <s:f>((B12-B11)-B16)</s:f>
        <s:v>2681.9913954717545</s:v>
      </s:c>
      <s:c r="C8" s="5">
        <s:f>((C12-C11)-C16)</s:f>
        <s:v>2965.30174776604</s:v>
      </s:c>
      <s:c r="D8" s="5">
        <s:f>((D12-D11)-D16)</s:f>
        <s:v>3278.5393980571143</s:v>
      </s:c>
      <s:c r="E8" s="5">
        <s:f>((E12-E11)-E16)</s:f>
        <s:v>3624.8656962855516</s:v>
      </s:c>
      <s:c r="F8" s="5">
        <s:f>((F12-F11)-F16)</s:f>
        <s:v>4007.775939460841</s:v>
      </s:c>
      <s:c r="G8" s="5">
        <s:f>((G12-G11)-G16)</s:f>
        <s:v>3247.3771235827785</s:v>
      </s:c>
    </s:row>
    <s:row r="9">
      <s:c r="A9" s="2" t="inlineStr">
        <s:is>
          <s:t>growth_assumption</s:t>
        </s:is>
      </s:c>
      <s:c r="B9" s="4">
        <s:f>Assumptions!B9</s:f>
        <s:v>0.1056343255883008</s:v>
      </s:c>
      <s:c r="C9" s="4">
        <s:f>Assumptions!C9</s:f>
        <s:v>0.1056343255883008</s:v>
      </s:c>
      <s:c r="D9" s="4">
        <s:f>Assumptions!D9</s:f>
        <s:v>0.1056343255883008</s:v>
      </s:c>
      <s:c r="E9" s="4">
        <s:f>Assumptions!E9</s:f>
        <s:v>0.1056343255883008</s:v>
      </s:c>
      <s:c r="F9" s="4">
        <s:f>Assumptions!F9</s:f>
        <s:v>0.1056343255883008</s:v>
      </s:c>
      <s:c r="G9" s="4">
        <s:f>Assumptions!G9</s:f>
        <s:v>0.1056343255883008</s:v>
      </s:c>
    </s:row>
    <s:row r="10">
      <s:c r="A10" s="2" t="inlineStr">
        <s:is>
          <s:t>high_capex</s:t>
        </s:is>
      </s:c>
      <s:c r="B10" s="4">
        <s:f>(Assumptions!B3*B21)</s:f>
        <s:v>2379.325068666023</s:v>
      </s:c>
      <s:c r="C10" s="4">
        <s:f>(Assumptions!B3*C21)</s:f>
        <s:v>2630.663467649896</s:v>
      </s:c>
      <s:c r="D10" s="4">
        <s:f>(Assumptions!B3*D21)</s:f>
        <s:v>2908.5518289048737</s:v>
      </s:c>
      <s:c r="E10" s="4">
        <s:f>(Assumptions!B3*E21)</s:f>
        <s:v>3215.794739789859</s:v>
      </s:c>
      <s:c r="F10" s="4">
        <s:f>(Assumptions!B3*F21)</s:f>
        <s:v>3555.493048357966</s:v>
      </s:c>
      <s:c r="G10" s="4">
        <s:f>(Assumptions!B3*G21)</s:f>
        <s:v>3768.822631259444</s:v>
      </s:c>
    </s:row>
    <s:row r="11">
      <s:c r="A11" s="2" t="inlineStr">
        <s:is>
          <s:t>net_capex</s:t>
        </s:is>
      </s:c>
      <s:c r="B11" s="4">
        <s:f>(((1-Assumptions!B15)*(B10-B5))+(Assumptions!B15*(((B12*Assumptions!B13)/Assumptions!B14)-B16)))</s:f>
        <s:v>1021.6061168435897</s:v>
      </s:c>
      <s:c r="C11" s="4">
        <s:f>(((1-Assumptions!C15)*(C10-C5))+(Assumptions!C15*(((C12*Assumptions!C13)/Assumptions!C14)-C16)))</s:f>
        <s:v>1129.5227900132452</s:v>
      </s:c>
      <s:c r="D11" s="4">
        <s:f>(((1-Assumptions!D15)*(D10-D5))+(Assumptions!D15*(((D12*Assumptions!D13)/Assumptions!D14)-D16)))</s:f>
        <s:v>1248.8391681729104</s:v>
      </s:c>
      <s:c r="E11" s="4">
        <s:f>(((1-Assumptions!E15)*(E10-E5))+(Assumptions!E15*(((E12*Assumptions!E13)/Assumptions!E14)-E16)))</s:f>
        <s:v>1380.7594514711104</s:v>
      </s:c>
      <s:c r="F11" s="4">
        <s:f>(((1-Assumptions!F15)*(F10-F5))+(Assumptions!F15*(((F12*Assumptions!F13)/Assumptions!F14)-F16)))</s:f>
        <s:v>1526.6150449269335</s:v>
      </s:c>
      <s:c r="G11" s="4">
        <s:f>(((1-Assumptions!G15)*(G10-G5))+(Assumptions!G15*(((G12*Assumptions!G13)/Assumptions!G14)-G16)))</s:f>
        <s:v>2875.140792822997</s:v>
      </s:c>
    </s:row>
    <s:row r="12">
      <s:c r="A12" s="2" t="inlineStr">
        <s:is>
          <s:t>nopat</s:t>
        </s:is>
      </s:c>
      <s:c r="B12" s="4">
        <s:f>(B7*(1-Assumptions!B16))</s:f>
        <s:v>4100.254404899414</s:v>
      </s:c>
      <s:c r="C12" s="4">
        <s:f>(C7*(1-Assumptions!C16))</s:f>
        <s:v>4533.382013701424</s:v>
      </s:c>
      <s:c r="D12" s="4">
        <s:f>(D7*(1-Assumptions!D16))</s:f>
        <s:v>5012.262765352906</s:v>
      </s:c>
      <s:c r="E12" s="4">
        <s:f>(E7*(1-Assumptions!E16))</s:f>
        <s:v>5541.729762242312</s:v>
      </s:c>
      <s:c r="F12" s="4">
        <s:f>(F7*(1-Assumptions!F16))</s:f>
        <s:v>6127.126648269393</s:v>
      </s:c>
      <s:c r="G12" s="4">
        <s:f>(G7*(1-Assumptions!G16))</s:f>
        <s:v>6494.754247165557</s:v>
      </s:c>
    </s:row>
    <s:row r="13">
      <s:c r="A13" s="2" t="inlineStr">
        <s:is>
          <s:t>pv_fcff</s:t>
        </s:is>
      </s:c>
      <s:c r="B13" s="5">
        <s:f>(B8/B6)</s:f>
        <s:v>2446.6941064103603</s:v>
      </s:c>
      <s:c r="C13" s="5">
        <s:f>(C8/C6)</s:f>
        <s:v>2467.8200301899587</s:v>
      </s:c>
      <s:c r="D13" s="5">
        <s:f>(D8/D6)</s:f>
        <s:v>2489.128365270736</s:v>
      </s:c>
      <s:c r="E13" s="5">
        <s:f>(E8/E6)</s:f>
        <s:v>2510.6206866788643</s:v>
      </s:c>
      <s:c r="F13" s="5">
        <s:f>(F8/F6)</s:f>
        <s:v>2532.2985830400376</s:v>
      </s:c>
      <s:c r="G13" s="5">
        <s:f>(G8/G6)</s:f>
        <s:v>1871.8304198925127</s:v>
      </s:c>
    </s:row>
    <s:row r="14">
      <s:c r="A14" s="2" t="inlineStr">
        <s:is>
          <s:t>revenue</s:t>
        </s:is>
      </s:c>
      <s:c r="B14" s="4">
        <s:f>(Assumptions!B10*B22)</s:f>
        <s:v>18465.198871650213</s:v>
      </s:c>
      <s:c r="C14" s="4">
        <s:f>(Assumptions!B10*C22)</s:f>
        <s:v>20415.757701310835</s:v>
      </s:c>
      <s:c r="D14" s="4">
        <s:f>(Assumptions!B10*D22)</s:f>
        <s:v>22572.362497462964</s:v>
      </s:c>
      <s:c r="E14" s="4">
        <s:f>(Assumptions!B10*E22)</s:f>
        <s:v>24956.778786817114</s:v>
      </s:c>
      <s:c r="F14" s="4">
        <s:f>(Assumptions!B10*F22)</s:f>
        <s:v>27593.071282818953</s:v>
      </s:c>
      <s:c r="G14" s="4">
        <s:f>(Assumptions!B10*G22)</s:f>
        <s:v>29248.65555978809</s:v>
      </s:c>
    </s:row>
    <s:row r="15">
      <s:c r="A15" s="2" t="inlineStr">
        <s:is>
          <s:t>wacc</s:t>
        </s:is>
      </s:c>
      <s:c r="B15" s="4">
        <s:f>((B3*(1-Assumptions!B5))+(B2*Assumptions!B5))</s:f>
        <s:v>0.09616947555679846</s:v>
      </s:c>
      <s:c r="C15" s="4">
        <s:f>((C3*(1-Assumptions!C5))+(C2*Assumptions!C5))</s:f>
        <s:v>0.09616947555679846</s:v>
      </s:c>
      <s:c r="D15" s="4">
        <s:f>((D3*(1-Assumptions!D5))+(D2*Assumptions!D5))</s:f>
        <s:v>0.09616947555679846</s:v>
      </s:c>
      <s:c r="E15" s="4">
        <s:f>((E3*(1-Assumptions!E5))+(E2*Assumptions!E5))</s:f>
        <s:v>0.09616947555679846</s:v>
      </s:c>
      <s:c r="F15" s="4">
        <s:f>((F3*(1-Assumptions!F5))+(F2*Assumptions!F5))</s:f>
        <s:v>0.09616947555679846</s:v>
      </s:c>
      <s:c r="G15" s="4">
        <s:f>((G3*(1-Assumptions!G5))+(G2*Assumptions!G5))</s:f>
        <s:v>0.09616947555679846</s:v>
      </s:c>
    </s:row>
    <s:row r="16">
      <s:c r="A16" s="2" t="inlineStr">
        <s:is>
          <s:t>working_capital_change</s:t>
        </s:is>
      </s:c>
      <s:c r="B16" s="4">
        <s:f>((B14-Assumptions!B10)*B17)</s:f>
        <s:v>396.6568925840698</s:v>
      </s:c>
      <s:c r="C16" s="5">
        <s:f>((C14-B14)*C17)</s:f>
        <s:v>438.5574759221385</s:v>
      </s:c>
      <s:c r="D16" s="5">
        <s:f>((D14-C14)*D17)</s:f>
        <s:v>484.8841991228815</s:v>
      </s:c>
      <s:c r="E16" s="5">
        <s:f>((E14-D14)*E17)</s:f>
        <s:v>536.1046144856497</s:v>
      </s:c>
      <s:c r="F16" s="5">
        <s:f>((F14-E14)*F17)</s:f>
        <s:v>592.7356638816182</s:v>
      </s:c>
      <s:c r="G16" s="5">
        <s:f>((G14-F14)*G17)</s:f>
        <s:v>372.2363307597814</s:v>
      </s:c>
    </s:row>
    <s:row r="17">
      <s:c r="A17" s="2" t="inlineStr">
        <s:is>
          <s:t>working_capital_ratio</s:t>
        </s:is>
      </s:c>
      <s:c r="B17" s="4">
        <s:f>MAX((Assumptions!B17/Assumptions!B10),0)</s:f>
        <s:v>0.22483683611759775</s:v>
      </s:c>
      <s:c r="C17" s="4">
        <s:f>MAX((Assumptions!C17/Assumptions!C10),0)</s:f>
        <s:v>0.22483683611759775</s:v>
      </s:c>
      <s:c r="D17" s="4">
        <s:f>MAX((Assumptions!D17/Assumptions!D10),0)</s:f>
        <s:v>0.22483683611759775</s:v>
      </s:c>
      <s:c r="E17" s="4">
        <s:f>MAX((Assumptions!E17/Assumptions!E10),0)</s:f>
        <s:v>0.22483683611759775</s:v>
      </s:c>
      <s:c r="F17" s="4">
        <s:f>MAX((Assumptions!F17/Assumptions!F10),0)</s:f>
        <s:v>0.22483683611759775</s:v>
      </s:c>
      <s:c r="G17" s="4">
        <s:f>MAX((Assumptions!G17/Assumptions!G10),0)</s:f>
        <s:v>0.22483683611759775</s:v>
      </s:c>
    </s:row>
    <s:row r="18" hidden="1">
      <s:c r="A18" s="2" t="inlineStr">
        <s:is>
          <s:t>_grow_factor_1</s:t>
        </s:is>
      </s:c>
      <s:c r="B18" s="4">
        <s:f>(1*(1+Assumptions!B8))</s:f>
        <s:v>1.1056343255883008</s:v>
      </s:c>
      <s:c r="C18" s="4">
        <s:f>(B18*(1+Assumptions!C8))</s:f>
        <s:v>1.2224272619190968</s:v>
      </s:c>
      <s:c r="D18" s="4">
        <s:f>(C18*(1+Assumptions!D8))</s:f>
        <s:v>1.3515575413126737</s:v>
      </s:c>
      <s:c r="E18" s="4">
        <s:f>(D18*(1+Assumptions!E8))</s:f>
        <s:v>1.49432841068302</s:v>
      </s:c>
      <s:c r="F18" s="4">
        <s:f>(E18*(1+Assumptions!F8))</s:f>
        <s:v>1.6521807845529581</s:v>
      </s:c>
      <s:c r="G18" s="4">
        <s:f>(F18*(1+Assumptions!G8))</s:f>
        <s:v>1.7513116316261357</s:v>
      </s:c>
    </s:row>
    <s:row r="19" hidden="1">
      <s:c r="A19" s="2" t="inlineStr">
        <s:is>
          <s:t>_grow_factor_2</s:t>
        </s:is>
      </s:c>
      <s:c r="B19" s="5">
        <s:f>(1*(1+B15))</s:f>
        <s:v>1.0961694755567986</s:v>
      </s:c>
      <s:c r="C19" s="5">
        <s:f>(B19*(1+C15))</s:f>
        <s:v>1.2015875191424668</s:v>
      </s:c>
      <s:c r="D19" s="5">
        <s:f>(C19*(1+D15))</s:f>
        <s:v>1.3171435606939925</s:v>
      </s:c>
      <s:c r="E19" s="5">
        <s:f>(D19*(1+E15))</s:f>
        <s:v>1.443812566158948</s:v>
      </s:c>
      <s:c r="F19" s="5">
        <s:f>(E19*(1+F15))</s:f>
        <s:v>1.5826632634487696</s:v>
      </s:c>
      <s:c r="G19" s="5">
        <s:f>(F19*(1+G15))</s:f>
        <s:v>1.734867159477649</s:v>
      </s:c>
    </s:row>
    <s:row r="20" hidden="1">
      <s:c r="A20" s="2" t="inlineStr">
        <s:is>
          <s:t>_grow_factor_3</s:t>
        </s:is>
      </s:c>
      <s:c r="B20" s="4">
        <s:f>(1*(1+Assumptions!B8))</s:f>
        <s:v>1.1056343255883008</s:v>
      </s:c>
      <s:c r="C20" s="4">
        <s:f>(B20*(1+Assumptions!C8))</s:f>
        <s:v>1.2224272619190968</s:v>
      </s:c>
      <s:c r="D20" s="4">
        <s:f>(C20*(1+Assumptions!D8))</s:f>
        <s:v>1.3515575413126737</s:v>
      </s:c>
      <s:c r="E20" s="4">
        <s:f>(D20*(1+Assumptions!E8))</s:f>
        <s:v>1.49432841068302</s:v>
      </s:c>
      <s:c r="F20" s="4">
        <s:f>(E20*(1+Assumptions!F8))</s:f>
        <s:v>1.6521807845529581</s:v>
      </s:c>
      <s:c r="G20" s="4">
        <s:f>(F20*(1+Assumptions!G8))</s:f>
        <s:v>1.7513116316261357</s:v>
      </s:c>
    </s:row>
    <s:row r="21" hidden="1">
      <s:c r="A21" s="2" t="inlineStr">
        <s:is>
          <s:t>_grow_factor_4</s:t>
        </s:is>
      </s:c>
      <s:c r="B21" s="4">
        <s:f>(1*(1+Assumptions!B8))</s:f>
        <s:v>1.1056343255883008</s:v>
      </s:c>
      <s:c r="C21" s="4">
        <s:f>(B21*(1+Assumptions!C8))</s:f>
        <s:v>1.2224272619190968</s:v>
      </s:c>
      <s:c r="D21" s="4">
        <s:f>(C21*(1+Assumptions!D8))</s:f>
        <s:v>1.3515575413126737</s:v>
      </s:c>
      <s:c r="E21" s="4">
        <s:f>(D21*(1+Assumptions!E8))</s:f>
        <s:v>1.49432841068302</s:v>
      </s:c>
      <s:c r="F21" s="4">
        <s:f>(E21*(1+Assumptions!F8))</s:f>
        <s:v>1.6521807845529581</s:v>
      </s:c>
      <s:c r="G21" s="4">
        <s:f>(F21*(1+Assumptions!G8))</s:f>
        <s:v>1.7513116316261357</s:v>
      </s:c>
    </s:row>
    <s:row r="22" hidden="1">
      <s:c r="A22" s="2" t="inlineStr">
        <s:is>
          <s:t>_grow_factor_5</s:t>
        </s:is>
      </s:c>
      <s:c r="B22" s="4">
        <s:f>(1*(1+Assumptions!B8))</s:f>
        <s:v>1.1056343255883008</s:v>
      </s:c>
      <s:c r="C22" s="4">
        <s:f>(B22*(1+Assumptions!C8))</s:f>
        <s:v>1.2224272619190968</s:v>
      </s:c>
      <s:c r="D22" s="4">
        <s:f>(C22*(1+Assumptions!D8))</s:f>
        <s:v>1.3515575413126737</s:v>
      </s:c>
      <s:c r="E22" s="4">
        <s:f>(D22*(1+Assumptions!E8))</s:f>
        <s:v>1.49432841068302</s:v>
      </s:c>
      <s:c r="F22" s="4">
        <s:f>(E22*(1+Assumptions!F8))</s:f>
        <s:v>1.6521807845529581</s:v>
      </s:c>
      <s:c r="G22" s="4">
        <s:f>(F22*(1+Assumptions!G8))</s:f>
        <s:v>1.7513116316261357</s:v>
      </s:c>
    </s:row>
  </s:sheetData>
  <s:autoFilter ref="A1:A1"/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G14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</s:cols>
  <s:sheetData>
    <s:row r="1">
      <s:c r="A1" s="1" t="inlineStr">
        <s:is>
          <s:t>Line</s:t>
        </s:is>
      </s:c>
      <s:c r="B1" s="1" t="n">
        <s:v>1</s:v>
      </s:c>
      <s:c r="C1" s="1" t="n">
        <s:v>2</s:v>
      </s:c>
      <s:c r="D1" s="1" t="n">
        <s:v>3</s:v>
      </s:c>
      <s:c r="E1" s="1" t="n">
        <s:v>4</s:v>
      </s:c>
      <s:c r="F1" s="1" t="n">
        <s:v>5</s:v>
      </s:c>
      <s:c r="G1" s="1" t="n">
        <s:v>6</s:v>
      </s:c>
    </s:row>
    <s:row r="2">
      <s:c r="A2" s="2" t="inlineStr">
        <s:is>
          <s:t>FCF</s:t>
        </s:is>
      </s:c>
      <s:c r="B2" s="4">
        <s:f>Model!B8</s:f>
        <s:v>2681.9913954717545</s:v>
      </s:c>
      <s:c r="C2" s="4">
        <s:f>Model!C8</s:f>
        <s:v>2965.30174776604</s:v>
      </s:c>
      <s:c r="D2" s="4">
        <s:f>Model!D8</s:f>
        <s:v>3278.5393980571143</s:v>
      </s:c>
      <s:c r="E2" s="4">
        <s:f>Model!E8</s:f>
        <s:v>3624.8656962855516</s:v>
      </s:c>
      <s:c r="F2" s="4">
        <s:f>Model!F8</s:f>
        <s:v>4007.775939460841</s:v>
      </s:c>
      <s:c r="G2" s="4">
        <s:f>Model!G8</s:f>
        <s:v>3247.3771235827785</s:v>
      </s:c>
    </s:row>
    <s:row r="3">
      <s:c r="A3" s="2" t="inlineStr">
        <s:is>
          <s:t>WACC</s:t>
        </s:is>
      </s:c>
      <s:c r="B3" s="4">
        <s:f>Assumptions!B18</s:f>
        <s:v>0.09616947555679846</s:v>
      </s:c>
      <s:c r="C3" s="4">
        <s:f>Assumptions!C18</s:f>
        <s:v>0.09616947555679846</s:v>
      </s:c>
      <s:c r="D3" s="4">
        <s:f>Assumptions!D18</s:f>
        <s:v>0.09616947555679846</s:v>
      </s:c>
      <s:c r="E3" s="4">
        <s:f>Assumptions!E18</s:f>
        <s:v>0.09616947555679846</s:v>
      </s:c>
      <s:c r="F3" s="4">
        <s:f>Assumptions!F18</s:f>
        <s:v>0.09616947555679846</s:v>
      </s:c>
      <s:c r="G3" s="4">
        <s:f>Assumptions!G18</s:f>
        <s:v>0.09616947555679846</s:v>
      </s:c>
    </s:row>
    <s:row r="4">
      <s:c r="A4" s="2" t="inlineStr">
        <s:is>
          <s:t>Discount factor</s:t>
        </s:is>
      </s:c>
      <s:c r="B4" s="5">
        <s:f>1*(1+B3)</s:f>
        <s:v>1.0961694755567986</s:v>
      </s:c>
      <s:c r="C4" s="5">
        <s:f>B4*(1+C3)</s:f>
        <s:v>1.2015875191424668</s:v>
      </s:c>
      <s:c r="D4" s="5">
        <s:f>C4*(1+D3)</s:f>
        <s:v>1.3171435606939925</s:v>
      </s:c>
      <s:c r="E4" s="5">
        <s:f>D4*(1+E3)</s:f>
        <s:v>1.443812566158948</s:v>
      </s:c>
      <s:c r="F4" s="5">
        <s:f>E4*(1+F3)</s:f>
        <s:v>1.5826632634487696</s:v>
      </s:c>
      <s:c r="G4" s="5">
        <s:f>F4*(1+G3)</s:f>
        <s:v>1.734867159477649</s:v>
      </s:c>
    </s:row>
    <s:row r="5">
      <s:c r="A5" s="2" t="inlineStr">
        <s:is>
          <s:t>Present value</s:t>
        </s:is>
      </s:c>
      <s:c r="B5" s="5">
        <s:f>B2/B4</s:f>
        <s:v>2446.6941064103603</s:v>
      </s:c>
      <s:c r="C5" s="5">
        <s:f>C2/C4</s:f>
        <s:v>2467.8200301899587</s:v>
      </s:c>
      <s:c r="D5" s="5">
        <s:f>D2/D4</s:f>
        <s:v>2489.128365270736</s:v>
      </s:c>
      <s:c r="E5" s="5">
        <s:f>E2/E4</s:f>
        <s:v>2510.6206866788643</s:v>
      </s:c>
      <s:c r="F5" s="5">
        <s:f>F2/F4</s:f>
        <s:v>2532.2985830400376</s:v>
      </s:c>
      <s:c r="G5" s="5">
        <s:f>G2/G4</s:f>
        <s:v>1871.8304198925127</s:v>
      </s:c>
    </s:row>
    <s:row r="6">
      <s:c r="A6" s="2" t="n"/>
      <s:c r="B6" s="2" t="n"/>
      <s:c r="C6" s="2" t="n"/>
      <s:c r="D6" s="2" t="n"/>
      <s:c r="E6" s="2" t="n"/>
      <s:c r="F6" s="2" t="n"/>
      <s:c r="G6" s="2" t="n"/>
    </s:row>
    <s:row r="7">
      <s:c r="A7" s="2" t="inlineStr">
        <s:is>
          <s:t>Terminal value</s:t>
        </s:is>
      </s:c>
      <s:c r="B7" s="4">
        <s:f>G2*(1+Assumptions!G19)/(G3-Assumptions!G19)</s:f>
        <s:v>95169.19164593033</s:v>
      </s:c>
      <s:c r="C7" s="2" t="n"/>
      <s:c r="D7" s="2" t="n"/>
      <s:c r="E7" s="2" t="n"/>
      <s:c r="F7" s="2" t="n"/>
      <s:c r="G7" s="2" t="n"/>
    </s:row>
    <s:row r="8">
      <s:c r="A8" s="2" t="inlineStr">
        <s:is>
          <s:t>Terminal present value</s:t>
        </s:is>
      </s:c>
      <s:c r="B8" s="5">
        <s:f>B7/G4</s:f>
        <s:v>54856.760142133775</s:v>
      </s:c>
      <s:c r="C8" s="2" t="n"/>
      <s:c r="D8" s="2" t="n"/>
      <s:c r="E8" s="2" t="n"/>
      <s:c r="F8" s="2" t="n"/>
      <s:c r="G8" s="2" t="n"/>
    </s:row>
    <s:row r="9">
      <s:c r="A9" s="2" t="inlineStr">
        <s:is>
          <s:t>Enterprise value</s:t>
        </s:is>
      </s:c>
      <s:c r="B9" s="5">
        <s:f>SUM(B5:G5)+B8</s:f>
        <s:v>69175.15233361625</s:v>
      </s:c>
      <s:c r="C9" s="2" t="n"/>
      <s:c r="D9" s="2" t="n"/>
      <s:c r="E9" s="2" t="n"/>
      <s:c r="F9" s="2" t="n"/>
      <s:c r="G9" s="2" t="n"/>
    </s:row>
    <s:row r="10">
      <s:c r="A10" s="2" t="inlineStr">
        <s:is>
          <s:t>Net cash</s:t>
        </s:is>
      </s:c>
      <s:c r="B10" s="4">
        <s:f>Assumptions!B20</s:f>
        <s:v>-2822.0</s:v>
      </s:c>
      <s:c r="C10" s="2" t="n"/>
      <s:c r="D10" s="2" t="n"/>
      <s:c r="E10" s="2" t="n"/>
      <s:c r="F10" s="2" t="n"/>
      <s:c r="G10" s="2" t="n"/>
    </s:row>
    <s:row r="11">
      <s:c r="A11" s="2" t="inlineStr">
        <s:is>
          <s:t>Equity value</s:t>
        </s:is>
      </s:c>
      <s:c r="B11" s="5">
        <s:f>B9+B10</s:f>
        <s:v>66353.15233361625</s:v>
      </s:c>
      <s:c r="C11" s="2" t="n"/>
      <s:c r="D11" s="2" t="n"/>
      <s:c r="E11" s="2" t="n"/>
      <s:c r="F11" s="2" t="n"/>
      <s:c r="G11" s="2" t="n"/>
    </s:row>
    <s:row r="12">
      <s:c r="A12" s="2" t="inlineStr">
        <s:is>
          <s:t>Shares</s:t>
        </s:is>
      </s:c>
      <s:c r="B12" s="4">
        <s:f>Assumptions!B21</s:f>
        <s:v>993.57</s:v>
      </s:c>
      <s:c r="C12" s="2" t="n"/>
      <s:c r="D12" s="2" t="n"/>
      <s:c r="E12" s="2" t="n"/>
      <s:c r="F12" s="2" t="n"/>
      <s:c r="G12" s="2" t="n"/>
    </s:row>
    <s:row r="13">
      <s:c r="A13" s="2" t="inlineStr">
        <s:is>
          <s:t>Per-share value</s:t>
        </s:is>
      </s:c>
      <s:c r="B13" s="5">
        <s:f>B11/B12</s:f>
        <s:v>66.78256422156089</s:v>
      </s:c>
      <s:c r="C13" s="2" t="n"/>
      <s:c r="D13" s="2" t="n"/>
      <s:c r="E13" s="2" t="n"/>
      <s:c r="F13" s="2" t="n"/>
      <s:c r="G13" s="2" t="n"/>
    </s:row>
    <s:row r="14">
      <s:c r="A14" s="2" t="inlineStr">
        <s:is>
          <s:t>Terminal weight</s:t>
        </s:is>
      </s:c>
      <s:c r="B14" s="5">
        <s:f>B8/B9</s:f>
        <s:v>0.7930124949717772</s:v>
      </s:c>
      <s:c r="C14" s="2" t="n"/>
      <s:c r="D14" s="2" t="n"/>
      <s:c r="E14" s="2" t="n"/>
      <s:c r="F14" s="2" t="n"/>
      <s:c r="G14" s="2" t="n"/>
    </s:row>
  </s:sheetData>
  <s:autoFilter ref="A1:A1"/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C1"/>
  <s:sheetViews>
    <s:sheetView showGridLines="0"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0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</s:cols>
  <s:sheetData>
    <s:row r="1">
      <s:c r="A1" s="1" t="inlineStr">
        <s:is>
          <s:t>period</s:t>
        </s:is>
      </s:c>
      <s:c r="B1" s="1" t="inlineStr">
        <s:is>
          <s:t>line</s:t>
        </s:is>
      </s:c>
      <s:c r="C1" s="1" t="inlineStr">
        <s:is>
          <s:t>value</s:t>
        </s:is>
      </s:c>
    </s:row>
  </s:sheetData>
  <s: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D8D"/>
  <s:autoFilter ref="A1:C1"/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burr</dc:creator>
  <dc:title>two_stage — base</dc:title>
  <dcterms:created xsi:type="dcterms:W3CDTF">2000-01-01T00:00:00Z</dcterms:created>
  <dcterms:modified xsi:type="dcterms:W3CDTF">2000-01-01T00:00:00Z</dcterms:modified>
</cp:coreProperties>
</file>