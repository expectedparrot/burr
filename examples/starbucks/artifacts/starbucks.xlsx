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'Actuals'!$A$1:$C$17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2" authorId="0" shapeId="0">
      <text>
        <t>rationale: Store investment and refurbishment as a share of revenue.
source: tutorial assumption</t>
      </text>
    </comment>
    <comment ref="A3" authorId="0" shapeId="0">
      <text>
        <t>rationale: FY2025 consolidated company-operated store revenue, USD millions.
source: https://investor.starbucks.com/news/financial-releases/news-details/2025/Starbucks-Reports-Q4-and-Full-Fiscal-Year-2025-Results/
as_of: 2025-09-28</t>
      </text>
    </comment>
    <comment ref="A4" authorId="0" shapeId="0">
      <text>
        <t>rationale: Depreciation and amortization addback as a share of revenue; excludes equity compensation and lease addbacks.
source: tutorial assumption; sources/reported.csv for historical cash-flow D&amp;A</t>
      </text>
    </comment>
    <comment ref="A5" authorId="0" shapeId="0">
      <text>
        <t>rationale: Annual revenue contribution from net capacity growth and store maturation; not a reported store-count forecast.
source: tutorial assumption</t>
      </text>
    </comment>
    <comment ref="A6" authorId="0" shapeId="0">
      <text>
        <t>rationale: Incremental working capital consumes 2% of the change in revenue; simplified aggregate cash-flow adjustment.
source: tutorial assumption</t>
      </text>
    </comment>
    <comment ref="A7" authorId="0" shapeId="0">
      <text>
        <t>rationale: Growth in product sales and royalties recognized from licensees.
source: tutorial assumption</t>
      </text>
    </comment>
    <comment ref="A8" authorId="0" shapeId="0">
      <text>
        <t>rationale: Revenue recognized by Starbucks; excludes licensees' retail sales.
source: sources/reported.csv; FY2025 consolidated licensed-store revenue
as_of: 2025-09-28</t>
      </text>
    </comment>
    <comment ref="A9" authorId="0" shapeId="0">
      <text>
        <t>rationale: Hypothetical margin recovery after store labor, rent, ingredients, overhead, depreciation, and equity compensation.
source: tutorial assumption</t>
      </text>
    </comment>
    <comment ref="A10" authorId="0" shapeId="0">
      <text>
        <t>rationale: Growth in the consolidated other-revenue category.
source: tutorial assumption</t>
      </text>
    </comment>
    <comment ref="A11" authorId="0" shapeId="0">
      <text>
        <t>rationale: Consolidated revenue category, not the Channel Development segment total.
source: sources/reported.csv; FY2025 consolidated other revenue
as_of: 2025-09-28</t>
      </text>
    </comment>
    <comment ref="A12" authorId="0" shapeId="0">
      <text>
        <t>rationale: Starting point for incremental working-capital investment.
source: sources/reported.csv; FY2025 consolidated total net revenue
as_of: 2025-09-28</t>
      </text>
    </comment>
    <comment ref="A13" authorId="0" shapeId="0">
      <text>
        <t>rationale: Normalized tax on positive operating income.
source: tutorial assumption</t>
      </text>
    </comment>
    <comment ref="A14" authorId="0" shapeId="0">
      <text>
        <t>rationale: Annual average-ticket growth from price and mix, with no automatic demand elasticity.
source: tutorial assumption</t>
      </text>
    </comment>
    <comment ref="A15" authorId="0" shapeId="0">
      <text>
        <t>rationale: Improving customer visits; applied as a simplified company-operated revenue driver.
source: tutorial assumption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19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</s:cols>
  <s:sheetData>
    <s:row r="1">
      <s:c r="A1" s="1" t="inlineStr">
        <s:is>
          <s:t>Line</s:t>
        </s:is>
      </s:c>
      <s:c r="B1" s="1" t="n">
        <s:v>2026</s:v>
      </s:c>
      <s:c r="C1" s="1" t="n">
        <s:v>2027</s:v>
      </s:c>
      <s:c r="D1" s="1" t="n">
        <s:v>2028</s:v>
      </s:c>
      <s:c r="E1" s="1" t="n">
        <s:v>2029</s:v>
      </s:c>
      <s:c r="F1" s="1" t="n">
        <s:v>2030</s:v>
      </s:c>
    </s:row>
    <s:row r="2">
      <s:c r="A2" s="2" t="inlineStr">
        <s:is>
          <s:t>capex_pct</s:t>
        </s:is>
      </s:c>
      <s:c r="B2" s="3" t="n">
        <s:v>0.065</s:v>
      </s:c>
      <s:c r="C2" s="3" t="n">
        <s:v>0.06375</s:v>
      </s:c>
      <s:c r="D2" s="3" t="n">
        <s:v>0.0625</s:v>
      </s:c>
      <s:c r="E2" s="3" t="n">
        <s:v>0.06125</s:v>
      </s:c>
      <s:c r="F2" s="3" t="n">
        <s:v>0.06</s:v>
      </s:c>
    </s:row>
    <s:row r="3">
      <s:c r="A3" s="2" t="inlineStr">
        <s:is>
          <s:t>company_revenue0</s:t>
        </s:is>
      </s:c>
      <s:c r="B3" s="3" t="n">
        <s:v>30744.8</s:v>
      </s:c>
      <s:c r="C3" s="3" t="n">
        <s:v>30744.8</s:v>
      </s:c>
      <s:c r="D3" s="3" t="n">
        <s:v>30744.8</s:v>
      </s:c>
      <s:c r="E3" s="3" t="n">
        <s:v>30744.8</s:v>
      </s:c>
      <s:c r="F3" s="3" t="n">
        <s:v>30744.8</s:v>
      </s:c>
    </s:row>
    <s:row r="4">
      <s:c r="A4" s="2" t="inlineStr">
        <s:is>
          <s:t>da_pct</s:t>
        </s:is>
      </s:c>
      <s:c r="B4" s="3" t="n">
        <s:v>0.047</s:v>
      </s:c>
      <s:c r="C4" s="3" t="n">
        <s:v>0.047</s:v>
      </s:c>
      <s:c r="D4" s="3" t="n">
        <s:v>0.047</s:v>
      </s:c>
      <s:c r="E4" s="3" t="n">
        <s:v>0.047</s:v>
      </s:c>
      <s:c r="F4" s="3" t="n">
        <s:v>0.047</s:v>
      </s:c>
    </s:row>
    <s:row r="5">
      <s:c r="A5" s="2" t="inlineStr">
        <s:is>
          <s:t>footprint_growth</s:t>
        </s:is>
      </s:c>
      <s:c r="B5" s="3" t="n">
        <s:v>0.02</s:v>
      </s:c>
      <s:c r="C5" s="3" t="n">
        <s:v>0.02</s:v>
      </s:c>
      <s:c r="D5" s="3" t="n">
        <s:v>0.02</s:v>
      </s:c>
      <s:c r="E5" s="3" t="n">
        <s:v>0.02</s:v>
      </s:c>
      <s:c r="F5" s="3" t="n">
        <s:v>0.02</s:v>
      </s:c>
    </s:row>
    <s:row r="6">
      <s:c r="A6" s="2" t="inlineStr">
        <s:is>
          <s:t>incremental_nwc_pct</s:t>
        </s:is>
      </s:c>
      <s:c r="B6" s="3" t="n">
        <s:v>0.02</s:v>
      </s:c>
      <s:c r="C6" s="3" t="n">
        <s:v>0.02</s:v>
      </s:c>
      <s:c r="D6" s="3" t="n">
        <s:v>0.02</s:v>
      </s:c>
      <s:c r="E6" s="3" t="n">
        <s:v>0.02</s:v>
      </s:c>
      <s:c r="F6" s="3" t="n">
        <s:v>0.02</s:v>
      </s:c>
    </s:row>
    <s:row r="7">
      <s:c r="A7" s="2" t="inlineStr">
        <s:is>
          <s:t>licensed_growth</s:t>
        </s:is>
      </s:c>
      <s:c r="B7" s="3" t="n">
        <s:v>0.04</s:v>
      </s:c>
      <s:c r="C7" s="3" t="n">
        <s:v>0.04</s:v>
      </s:c>
      <s:c r="D7" s="3" t="n">
        <s:v>0.04</s:v>
      </s:c>
      <s:c r="E7" s="3" t="n">
        <s:v>0.04</s:v>
      </s:c>
      <s:c r="F7" s="3" t="n">
        <s:v>0.04</s:v>
      </s:c>
    </s:row>
    <s:row r="8">
      <s:c r="A8" s="2" t="inlineStr">
        <s:is>
          <s:t>licensed_revenue0</s:t>
        </s:is>
      </s:c>
      <s:c r="B8" s="3" t="n">
        <s:v>4350.4</s:v>
      </s:c>
      <s:c r="C8" s="3" t="n">
        <s:v>4350.4</s:v>
      </s:c>
      <s:c r="D8" s="3" t="n">
        <s:v>4350.4</s:v>
      </s:c>
      <s:c r="E8" s="3" t="n">
        <s:v>4350.4</s:v>
      </s:c>
      <s:c r="F8" s="3" t="n">
        <s:v>4350.4</s:v>
      </s:c>
    </s:row>
    <s:row r="9">
      <s:c r="A9" s="2" t="inlineStr">
        <s:is>
          <s:t>operating_margin</s:t>
        </s:is>
      </s:c>
      <s:c r="B9" s="3" t="n">
        <s:v>0.1</s:v>
      </s:c>
      <s:c r="C9" s="3" t="n">
        <s:v>0.11</s:v>
      </s:c>
      <s:c r="D9" s="3" t="n">
        <s:v>0.12</s:v>
      </s:c>
      <s:c r="E9" s="3" t="n">
        <s:v>0.13</s:v>
      </s:c>
      <s:c r="F9" s="3" t="n">
        <s:v>0.14</s:v>
      </s:c>
    </s:row>
    <s:row r="10">
      <s:c r="A10" s="2" t="inlineStr">
        <s:is>
          <s:t>other_growth</s:t>
        </s:is>
      </s:c>
      <s:c r="B10" s="3" t="n">
        <s:v>0.04</s:v>
      </s:c>
      <s:c r="C10" s="3" t="n">
        <s:v>0.04</s:v>
      </s:c>
      <s:c r="D10" s="3" t="n">
        <s:v>0.04</s:v>
      </s:c>
      <s:c r="E10" s="3" t="n">
        <s:v>0.04</s:v>
      </s:c>
      <s:c r="F10" s="3" t="n">
        <s:v>0.04</s:v>
      </s:c>
    </s:row>
    <s:row r="11">
      <s:c r="A11" s="2" t="inlineStr">
        <s:is>
          <s:t>other_revenue0</s:t>
        </s:is>
      </s:c>
      <s:c r="B11" s="3" t="n">
        <s:v>2089.2</s:v>
      </s:c>
      <s:c r="C11" s="3" t="n">
        <s:v>2089.2</s:v>
      </s:c>
      <s:c r="D11" s="3" t="n">
        <s:v>2089.2</s:v>
      </s:c>
      <s:c r="E11" s="3" t="n">
        <s:v>2089.2</s:v>
      </s:c>
      <s:c r="F11" s="3" t="n">
        <s:v>2089.2</s:v>
      </s:c>
    </s:row>
    <s:row r="12">
      <s:c r="A12" s="2" t="inlineStr">
        <s:is>
          <s:t>revenue0</s:t>
        </s:is>
      </s:c>
      <s:c r="B12" s="3" t="n">
        <s:v>37184.4</s:v>
      </s:c>
      <s:c r="C12" s="3" t="n">
        <s:v>37184.4</s:v>
      </s:c>
      <s:c r="D12" s="3" t="n">
        <s:v>37184.4</s:v>
      </s:c>
      <s:c r="E12" s="3" t="n">
        <s:v>37184.4</s:v>
      </s:c>
      <s:c r="F12" s="3" t="n">
        <s:v>37184.4</s:v>
      </s:c>
    </s:row>
    <s:row r="13">
      <s:c r="A13" s="2" t="inlineStr">
        <s:is>
          <s:t>tax_rate</s:t>
        </s:is>
      </s:c>
      <s:c r="B13" s="3" t="n">
        <s:v>0.25</s:v>
      </s:c>
      <s:c r="C13" s="3" t="n">
        <s:v>0.25</s:v>
      </s:c>
      <s:c r="D13" s="3" t="n">
        <s:v>0.25</s:v>
      </s:c>
      <s:c r="E13" s="3" t="n">
        <s:v>0.25</s:v>
      </s:c>
      <s:c r="F13" s="3" t="n">
        <s:v>0.25</s:v>
      </s:c>
    </s:row>
    <s:row r="14">
      <s:c r="A14" s="2" t="inlineStr">
        <s:is>
          <s:t>ticket_growth</s:t>
        </s:is>
      </s:c>
      <s:c r="B14" s="3" t="n">
        <s:v>0.02</s:v>
      </s:c>
      <s:c r="C14" s="3" t="n">
        <s:v>0.02</s:v>
      </s:c>
      <s:c r="D14" s="3" t="n">
        <s:v>0.02</s:v>
      </s:c>
      <s:c r="E14" s="3" t="n">
        <s:v>0.02</s:v>
      </s:c>
      <s:c r="F14" s="3" t="n">
        <s:v>0.02</s:v>
      </s:c>
    </s:row>
    <s:row r="15">
      <s:c r="A15" s="2" t="inlineStr">
        <s:is>
          <s:t>traffic_growth</s:t>
        </s:is>
      </s:c>
      <s:c r="B15" s="3" t="n">
        <s:v>0.01</s:v>
      </s:c>
      <s:c r="C15" s="3" t="n">
        <s:v>0.015</s:v>
      </s:c>
      <s:c r="D15" s="3" t="n">
        <s:v>0.02</s:v>
      </s:c>
      <s:c r="E15" s="3" t="n">
        <s:v>0.025</s:v>
      </s:c>
      <s:c r="F15" s="3" t="n">
        <s:v>0.03</s:v>
      </s:c>
    </s:row>
    <s:row r="16">
      <s:c r="A16" s="2" t="inlineStr">
        <s:is>
          <s:t>valuation.wacc</s:t>
        </s:is>
      </s:c>
      <s:c r="B16" s="3" t="n">
        <s:v>0.09</s:v>
      </s:c>
      <s:c r="C16" s="3" t="n">
        <s:v>0.09</s:v>
      </s:c>
      <s:c r="D16" s="3" t="n">
        <s:v>0.09</s:v>
      </s:c>
      <s:c r="E16" s="3" t="n">
        <s:v>0.09</s:v>
      </s:c>
      <s:c r="F16" s="3" t="n">
        <s:v>0.09</s:v>
      </s:c>
    </s:row>
    <s:row r="17">
      <s:c r="A17" s="2" t="inlineStr">
        <s:is>
          <s:t>valuation.terminal_growth</s:t>
        </s:is>
      </s:c>
      <s:c r="B17" s="3" t="n">
        <s:v>0.025</s:v>
      </s:c>
      <s:c r="C17" s="3" t="n">
        <s:v>0.025</s:v>
      </s:c>
      <s:c r="D17" s="3" t="n">
        <s:v>0.025</s:v>
      </s:c>
      <s:c r="E17" s="3" t="n">
        <s:v>0.025</s:v>
      </s:c>
      <s:c r="F17" s="3" t="n">
        <s:v>0.025</s:v>
      </s:c>
    </s:row>
    <s:row r="18">
      <s:c r="A18" s="2" t="inlineStr">
        <s:is>
          <s:t>valuation.net_cash</s:t>
        </s:is>
      </s:c>
      <s:c r="B18" s="3" t="n">
        <s:v>-12615.2</s:v>
      </s:c>
      <s:c r="C18" s="3" t="n">
        <s:v>-12615.2</s:v>
      </s:c>
      <s:c r="D18" s="3" t="n">
        <s:v>-12615.2</s:v>
      </s:c>
      <s:c r="E18" s="3" t="n">
        <s:v>-12615.2</s:v>
      </s:c>
      <s:c r="F18" s="3" t="n">
        <s:v>-12615.2</s:v>
      </s:c>
    </s:row>
    <s:row r="19">
      <s:c r="A19" s="2" t="inlineStr">
        <s:is>
          <s:t>valuation.shares</s:t>
        </s:is>
      </s:c>
      <s:c r="B19" s="3" t="n">
        <s:v>1136.9</s:v>
      </s:c>
      <s:c r="C19" s="3" t="n">
        <s:v>1136.9</s:v>
      </s:c>
      <s:c r="D19" s="3" t="n">
        <s:v>1136.9</s:v>
      </s:c>
      <s:c r="E19" s="3" t="n">
        <s:v>1136.9</s:v>
      </s:c>
      <s:c r="F19" s="3" t="n">
        <s:v>1136.9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F15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</s:cols>
  <s:sheetData>
    <s:row r="1">
      <s:c r="A1" s="1" t="inlineStr">
        <s:is>
          <s:t>Line</s:t>
        </s:is>
      </s:c>
      <s:c r="B1" s="1" t="n">
        <s:v>2026</s:v>
      </s:c>
      <s:c r="C1" s="1" t="n">
        <s:v>2027</s:v>
      </s:c>
      <s:c r="D1" s="1" t="n">
        <s:v>2028</s:v>
      </s:c>
      <s:c r="E1" s="1" t="n">
        <s:v>2029</s:v>
      </s:c>
      <s:c r="F1" s="1" t="n">
        <s:v>2030</s:v>
      </s:c>
    </s:row>
    <s:row r="2">
      <s:c r="A2" s="2" t="inlineStr">
        <s:is>
          <s:t>capex</s:t>
        </s:is>
      </s:c>
      <s:c r="B2" s="4">
        <s:f>(B12*Assumptions!B2)</s:f>
        <s:v>2535.2562832480003</s:v>
      </s:c>
      <s:c r="C2" s="4">
        <s:f>(C12*Assumptions!C2)</s:f>
        <s:v>2618.9266602437924</s:v>
      </s:c>
      <s:c r="D2" s="4">
        <s:f>(D12*Assumptions!D2)</s:f>
        <s:v>2715.4990952299613</s:v>
      </s:c>
      <s:c r="E2" s="4">
        <s:f>(E12*Assumptions!E2)</s:f>
        <s:v>2826.201224386158</s:v>
      </s:c>
      <s:c r="F2" s="4">
        <s:f>(F12*Assumptions!F2)</s:f>
        <s:v>2952.4943732597685</s:v>
      </s:c>
    </s:row>
    <s:row r="3">
      <s:c r="A3" s="2" t="inlineStr">
        <s:is>
          <s:t>cash_taxes</s:t>
        </s:is>
      </s:c>
      <s:c r="B3" s="4">
        <s:f>(MAX(B7,0)*Assumptions!B13)</s:f>
        <s:v>975.0985704800001</s:v>
      </s:c>
      <s:c r="C3" s="4">
        <s:f>(MAX(C7,0)*Assumptions!C13)</s:f>
        <s:v>1129.7330691247732</s:v>
      </s:c>
      <s:c r="D3" s="4">
        <s:f>(MAX(D7,0)*Assumptions!D13)</s:f>
        <s:v>1303.4395657103814</s:v>
      </s:c>
      <s:c r="E3" s="4">
        <s:f>(MAX(E7,0)*Assumptions!E13)</s:f>
        <s:v>1499.6169762049003</s:v>
      </s:c>
      <s:c r="F3" s="4">
        <s:f>(MAX(F7,0)*Assumptions!F13)</s:f>
        <s:v>1722.2883844015319</s:v>
      </s:c>
    </s:row>
    <s:row r="4">
      <s:c r="A4" s="2" t="inlineStr">
        <s:is>
          <s:t>company_growth</s:t>
        </s:is>
      </s:c>
      <s:c r="B4" s="4">
        <s:f>((((1+Assumptions!B5)*(1+Assumptions!B15))*(1+Assumptions!B14))-1)</s:f>
        <s:v>0.05080400000000007</s:v>
      </s:c>
      <s:c r="C4" s="4">
        <s:f>((((1+Assumptions!C5)*(1+Assumptions!C15))*(1+Assumptions!C14))-1)</s:f>
        <s:v>0.056006</s:v>
      </s:c>
      <s:c r="D4" s="4">
        <s:f>((((1+Assumptions!D5)*(1+Assumptions!D15))*(1+Assumptions!D14))-1)</s:f>
        <s:v>0.06120799999999993</s:v>
      </s:c>
      <s:c r="E4" s="4">
        <s:f>((((1+Assumptions!E5)*(1+Assumptions!E15))*(1+Assumptions!E14))-1)</s:f>
        <s:v>0.06640999999999986</s:v>
      </s:c>
      <s:c r="F4" s="4">
        <s:f>((((1+Assumptions!F5)*(1+Assumptions!F15))*(1+Assumptions!F14))-1)</s:f>
        <s:v>0.07161200000000001</s:v>
      </s:c>
    </s:row>
    <s:row r="5">
      <s:c r="A5" s="2" t="inlineStr">
        <s:is>
          <s:t>company_revenue</s:t>
        </s:is>
      </s:c>
      <s:c r="B5" s="4">
        <s:f>(Assumptions!B3*B13)</s:f>
        <s:v>32306.7588192</s:v>
      </s:c>
      <s:c r="C5" s="4">
        <s:f>(Assumptions!B3*C13)</s:f>
        <s:v>34116.131153628114</s:v>
      </s:c>
      <s:c r="D5" s="4">
        <s:f>(Assumptions!B3*D13)</s:f>
        <s:v>36204.31130927939</s:v>
      </s:c>
      <s:c r="E5" s="4">
        <s:f>(Assumptions!B3*E13)</s:f>
        <s:v>38608.63962332862</s:v>
      </s:c>
      <s:c r="F5" s="4">
        <s:f>(Assumptions!B3*F13)</s:f>
        <s:v>41373.48152403443</s:v>
      </s:c>
    </s:row>
    <s:row r="6">
      <s:c r="A6" s="2" t="inlineStr">
        <s:is>
          <s:t>da</s:t>
        </s:is>
      </s:c>
      <s:c r="B6" s="4">
        <s:f>(B12*Assumptions!B4)</s:f>
        <s:v>1833.1853125024002</s:v>
      </s:c>
      <s:c r="C6" s="4">
        <s:f>(C12*Assumptions!C4)</s:f>
        <s:v>1930.8165181405213</s:v>
      </s:c>
      <s:c r="D6" s="4">
        <s:f>(D12*Assumptions!D4)</s:f>
        <s:v>2042.0553196129308</s:v>
      </s:c>
      <s:c r="E6" s="4">
        <s:f>(E12*Assumptions!E4)</s:f>
        <s:v>2168.6768578963174</s:v>
      </s:c>
      <s:c r="F6" s="4">
        <s:f>(F12*Assumptions!F4)</s:f>
        <s:v>2312.7872590534853</s:v>
      </s:c>
    </s:row>
    <s:row r="7">
      <s:c r="A7" s="2" t="inlineStr">
        <s:is>
          <s:t>ebit</s:t>
        </s:is>
      </s:c>
      <s:c r="B7" s="4">
        <s:f>(B12*Assumptions!B9)</s:f>
        <s:v>3900.3942819200006</s:v>
      </s:c>
      <s:c r="C7" s="4">
        <s:f>(C12*Assumptions!C9)</s:f>
        <s:v>4518.932276499093</s:v>
      </s:c>
      <s:c r="D7" s="4">
        <s:f>(D12*Assumptions!D9)</s:f>
        <s:v>5213.758262841526</s:v>
      </s:c>
      <s:c r="E7" s="4">
        <s:f>(E12*Assumptions!E9)</s:f>
        <s:v>5998.467904819601</s:v>
      </s:c>
      <s:c r="F7" s="4">
        <s:f>(F12*Assumptions!F9)</s:f>
        <s:v>6889.153537606127</s:v>
      </s:c>
    </s:row>
    <s:row r="8">
      <s:c r="A8" s="2" t="inlineStr">
        <s:is>
          <s:t>fcff</s:t>
        </s:is>
      </s:c>
      <s:c r="B8" s="5">
        <s:f>((((B7-B3)+B6)-B2)-B9)</s:f>
        <s:v>2186.8338843104</s:v>
      </s:c>
      <s:c r="C8" s="5">
        <s:f>((((C7-C3)+C6)-C2)-C9)</s:f>
        <s:v>2659.543871382486</s:v>
      </s:c>
      <s:c r="D8" s="5">
        <s:f>((((D7-D3)+D6)-D2)-D9)</s:f>
        <s:v>3189.539261313089</s:v>
      </s:c>
      <s:c r="E8" s="5">
        <s:f>((((E7-E3)+E6)-E2)-E9)</s:f>
        <s:v>3787.445056472355</s:v>
      </s:c>
      <s:c r="F8" s="5">
        <s:f>((((F7-F3)+F6)-F2)-F9)</s:f>
        <s:v>4465.8344640378145</s:v>
      </s:c>
    </s:row>
    <s:row r="9">
      <s:c r="A9" s="2" t="inlineStr">
        <s:is>
          <s:t>incremental_nwc</s:t>
        </s:is>
      </s:c>
      <s:c r="B9" s="4">
        <s:f>((B12-Assumptions!B12)*Assumptions!B6)</s:f>
        <s:v>36.390856384000074</s:v>
      </s:c>
      <s:c r="C9" s="4">
        <s:f>((C12-B12)*Assumptions!C6)</s:f>
        <s:v>41.54519388856221</s:v>
      </s:c>
      <s:c r="D9" s="4">
        <s:f>((D12-C12)*Assumptions!D6)</s:f>
        <s:v>47.33566020102531</s:v>
      </s:c>
      <s:c r="E9" s="4">
        <s:f>((E12-D12)*Assumptions!E6)</s:f>
        <s:v>53.881505652504856</s:v>
      </s:c>
      <s:c r="F9" s="4">
        <s:f>((F12-E12)*Assumptions!F6)</s:f>
        <s:v>61.32357496049706</s:v>
      </s:c>
    </s:row>
    <s:row r="10">
      <s:c r="A10" s="2" t="inlineStr">
        <s:is>
          <s:t>licensed_revenue</s:t>
        </s:is>
      </s:c>
      <s:c r="B10" s="4">
        <s:f>(Assumptions!B8*B14)</s:f>
        <s:v>4524.416</s:v>
      </s:c>
      <s:c r="C10" s="4">
        <s:f>(Assumptions!B8*C14)</s:f>
        <s:v>4705.39264</s:v>
      </s:c>
      <s:c r="D10" s="4">
        <s:f>(Assumptions!B8*D14)</s:f>
        <s:v>4893.6083456</s:v>
      </s:c>
      <s:c r="E10" s="4">
        <s:f>(Assumptions!B8*E14)</s:f>
        <s:v>5089.352679424001</s:v>
      </s:c>
      <s:c r="F10" s="4">
        <s:f>(Assumptions!B8*F14)</s:f>
        <s:v>5292.926786600961</s:v>
      </s:c>
    </s:row>
    <s:row r="11">
      <s:c r="A11" s="2" t="inlineStr">
        <s:is>
          <s:t>other_revenue</s:t>
        </s:is>
      </s:c>
      <s:c r="B11" s="4">
        <s:f>(Assumptions!B11*B15)</s:f>
        <s:v>2172.768</s:v>
      </s:c>
      <s:c r="C11" s="4">
        <s:f>(Assumptions!B11*C15)</s:f>
        <s:v>2259.67872</s:v>
      </s:c>
      <s:c r="D11" s="4">
        <s:f>(Assumptions!B11*D15)</s:f>
        <s:v>2350.0658688</s:v>
      </s:c>
      <s:c r="E11" s="4">
        <s:f>(Assumptions!B11*E15)</s:f>
        <s:v>2444.068503552</s:v>
      </s:c>
      <s:c r="F11" s="4">
        <s:f>(Assumptions!B11*F15)</s:f>
        <s:v>2541.8312436940805</s:v>
      </s:c>
    </s:row>
    <s:row r="12">
      <s:c r="A12" s="2" t="inlineStr">
        <s:is>
          <s:t>revenue</s:t>
        </s:is>
      </s:c>
      <s:c r="B12" s="5">
        <s:f>((B5+B10)+B11)</s:f>
        <s:v>39003.942819200005</s:v>
      </s:c>
      <s:c r="C12" s="5">
        <s:f>((C5+C10)+C11)</s:f>
        <s:v>41081.202513628115</s:v>
      </s:c>
      <s:c r="D12" s="5">
        <s:f>((D5+D10)+D11)</s:f>
        <s:v>43447.98552367938</s:v>
      </s:c>
      <s:c r="E12" s="5">
        <s:f>((E5+E10)+E11)</s:f>
        <s:v>46142.060806304624</s:v>
      </s:c>
      <s:c r="F12" s="5">
        <s:f>((F5+F10)+F11)</s:f>
        <s:v>49208.23955432948</s:v>
      </s:c>
    </s:row>
    <s:row r="13" hidden="1">
      <s:c r="A13" s="2" t="inlineStr">
        <s:is>
          <s:t>_grow_factor_1</s:t>
        </s:is>
      </s:c>
      <s:c r="B13" s="5">
        <s:f>(1*(1+B4))</s:f>
        <s:v>1.050804</s:v>
      </s:c>
      <s:c r="C13" s="5">
        <s:f>(B13*(1+C4))</s:f>
        <s:v>1.109655328824</s:v>
      </s:c>
      <s:c r="D13" s="5">
        <s:f>(C13*(1+D4))</s:f>
        <s:v>1.1775751121906595</s:v>
      </s:c>
      <s:c r="E13" s="5">
        <s:f>(D13*(1+E4))</s:f>
        <s:v>1.255777875391241</s:v>
      </s:c>
      <s:c r="F13" s="5">
        <s:f>(E13*(1+F4))</s:f>
        <s:v>1.3457066406037586</s:v>
      </s:c>
    </s:row>
    <s:row r="14" hidden="1">
      <s:c r="A14" s="2" t="inlineStr">
        <s:is>
          <s:t>_grow_factor_2</s:t>
        </s:is>
      </s:c>
      <s:c r="B14" s="4">
        <s:f>(1*(1+Assumptions!B7))</s:f>
        <s:v>1.04</s:v>
      </s:c>
      <s:c r="C14" s="4">
        <s:f>(B14*(1+Assumptions!C7))</s:f>
        <s:v>1.0816000000000001</s:v>
      </s:c>
      <s:c r="D14" s="4">
        <s:f>(C14*(1+Assumptions!D7))</s:f>
        <s:v>1.124864</s:v>
      </s:c>
      <s:c r="E14" s="4">
        <s:f>(D14*(1+Assumptions!E7))</s:f>
        <s:v>1.1698585600000002</s:v>
      </s:c>
      <s:c r="F14" s="4">
        <s:f>(E14*(1+Assumptions!F7))</s:f>
        <s:v>1.2166529024000003</s:v>
      </s:c>
    </s:row>
    <s:row r="15" hidden="1">
      <s:c r="A15" s="2" t="inlineStr">
        <s:is>
          <s:t>_grow_factor_3</s:t>
        </s:is>
      </s:c>
      <s:c r="B15" s="4">
        <s:f>(1*(1+Assumptions!B10))</s:f>
        <s:v>1.04</s:v>
      </s:c>
      <s:c r="C15" s="4">
        <s:f>(B15*(1+Assumptions!C10))</s:f>
        <s:v>1.0816000000000001</s:v>
      </s:c>
      <s:c r="D15" s="4">
        <s:f>(C15*(1+Assumptions!D10))</s:f>
        <s:v>1.124864</s:v>
      </s:c>
      <s:c r="E15" s="4">
        <s:f>(D15*(1+Assumptions!E10))</s:f>
        <s:v>1.1698585600000002</s:v>
      </s:c>
      <s:c r="F15" s="4">
        <s:f>(E15*(1+Assumptions!F10))</s:f>
        <s:v>1.2166529024000003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F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</s:cols>
  <s:sheetData>
    <s:row r="1">
      <s:c r="A1" s="1" t="inlineStr">
        <s:is>
          <s:t>Line</s:t>
        </s:is>
      </s:c>
      <s:c r="B1" s="1" t="n">
        <s:v>2026</s:v>
      </s:c>
      <s:c r="C1" s="1" t="n">
        <s:v>2027</s:v>
      </s:c>
      <s:c r="D1" s="1" t="n">
        <s:v>2028</s:v>
      </s:c>
      <s:c r="E1" s="1" t="n">
        <s:v>2029</s:v>
      </s:c>
      <s:c r="F1" s="1" t="n">
        <s:v>2030</s:v>
      </s:c>
    </s:row>
    <s:row r="2">
      <s:c r="A2" s="2" t="inlineStr">
        <s:is>
          <s:t>FCF</s:t>
        </s:is>
      </s:c>
      <s:c r="B2" s="4">
        <s:f>Model!B8</s:f>
        <s:v>2186.8338843104</s:v>
      </s:c>
      <s:c r="C2" s="4">
        <s:f>Model!C8</s:f>
        <s:v>2659.543871382486</s:v>
      </s:c>
      <s:c r="D2" s="4">
        <s:f>Model!D8</s:f>
        <s:v>3189.539261313089</s:v>
      </s:c>
      <s:c r="E2" s="4">
        <s:f>Model!E8</s:f>
        <s:v>3787.445056472355</s:v>
      </s:c>
      <s:c r="F2" s="4">
        <s:f>Model!F8</s:f>
        <s:v>4465.8344640378145</s:v>
      </s:c>
    </s:row>
    <s:row r="3">
      <s:c r="A3" s="2" t="inlineStr">
        <s:is>
          <s:t>WACC</s:t>
        </s:is>
      </s:c>
      <s:c r="B3" s="4">
        <s:f>Assumptions!B16</s:f>
        <s:v>0.09</s:v>
      </s:c>
      <s:c r="C3" s="4">
        <s:f>Assumptions!C16</s:f>
        <s:v>0.09</s:v>
      </s:c>
      <s:c r="D3" s="4">
        <s:f>Assumptions!D16</s:f>
        <s:v>0.09</s:v>
      </s:c>
      <s:c r="E3" s="4">
        <s:f>Assumptions!E16</s:f>
        <s:v>0.09</s:v>
      </s:c>
      <s:c r="F3" s="4">
        <s:f>Assumptions!F16</s:f>
        <s:v>0.09</s:v>
      </s:c>
    </s:row>
    <s:row r="4">
      <s:c r="A4" s="2" t="inlineStr">
        <s:is>
          <s:t>Discount factor</s:t>
        </s:is>
      </s:c>
      <s:c r="B4" s="5">
        <s:f>1*(1+B3)</s:f>
        <s:v>1.09</s:v>
      </s:c>
      <s:c r="C4" s="5">
        <s:f>B4*(1+C3)</s:f>
        <s:v>1.1881000000000002</s:v>
      </s:c>
      <s:c r="D4" s="5">
        <s:f>C4*(1+D3)</s:f>
        <s:v>1.2950290000000002</s:v>
      </s:c>
      <s:c r="E4" s="5">
        <s:f>D4*(1+E3)</s:f>
        <s:v>1.4115816100000003</s:v>
      </s:c>
      <s:c r="F4" s="5">
        <s:f>E4*(1+F3)</s:f>
        <s:v>1.5386239549000005</s:v>
      </s:c>
    </s:row>
    <s:row r="5">
      <s:c r="A5" s="2" t="inlineStr">
        <s:is>
          <s:t>Present value</s:t>
        </s:is>
      </s:c>
      <s:c r="B5" s="5">
        <s:f>B2/B4</s:f>
        <s:v>2006.2696186333944</s:v>
      </s:c>
      <s:c r="C5" s="5">
        <s:f>C2/C4</s:f>
        <s:v>2238.484867757332</s:v>
      </s:c>
      <s:c r="D5" s="5">
        <s:f>D2/D4</s:f>
        <s:v>2462.909526592137</s:v>
      </s:c>
      <s:c r="E5" s="5">
        <s:f>E2/E4</s:f>
        <s:v>2683.1215635292633</s:v>
      </s:c>
      <s:c r="F5" s="5">
        <s:f>F2/F4</s:f>
        <s:v>2902.4859841910247</s:v>
      </s:c>
    </s:row>
    <s:row r="6">
      <s:c r="A6" s="2" t="n"/>
      <s:c r="B6" s="2" t="n"/>
      <s:c r="C6" s="2" t="n"/>
      <s:c r="D6" s="2" t="n"/>
      <s:c r="E6" s="2" t="n"/>
      <s:c r="F6" s="2" t="n"/>
    </s:row>
    <s:row r="7">
      <s:c r="A7" s="2" t="inlineStr">
        <s:is>
          <s:t>Terminal value</s:t>
        </s:is>
      </s:c>
      <s:c r="B7" s="4">
        <s:f>F2*(1+Assumptions!F17)/(F3-Assumptions!F17)</s:f>
        <s:v>70422.77424059629</s:v>
      </s:c>
      <s:c r="C7" s="2" t="n"/>
      <s:c r="D7" s="2" t="n"/>
      <s:c r="E7" s="2" t="n"/>
      <s:c r="F7" s="2" t="n"/>
    </s:row>
    <s:row r="8">
      <s:c r="A8" s="2" t="inlineStr">
        <s:is>
          <s:t>Terminal present value</s:t>
        </s:is>
      </s:c>
      <s:c r="B8" s="5">
        <s:f>B7/F4</s:f>
        <s:v>45769.97128916615</s:v>
      </s:c>
      <s:c r="C8" s="2" t="n"/>
      <s:c r="D8" s="2" t="n"/>
      <s:c r="E8" s="2" t="n"/>
      <s:c r="F8" s="2" t="n"/>
    </s:row>
    <s:row r="9">
      <s:c r="A9" s="2" t="inlineStr">
        <s:is>
          <s:t>Enterprise value</s:t>
        </s:is>
      </s:c>
      <s:c r="B9" s="5">
        <s:f>SUM(B5:F5)+B8</s:f>
        <s:v>58063.2428498693</s:v>
      </s:c>
      <s:c r="C9" s="2" t="n"/>
      <s:c r="D9" s="2" t="n"/>
      <s:c r="E9" s="2" t="n"/>
      <s:c r="F9" s="2" t="n"/>
    </s:row>
    <s:row r="10">
      <s:c r="A10" s="2" t="inlineStr">
        <s:is>
          <s:t>Net cash</s:t>
        </s:is>
      </s:c>
      <s:c r="B10" s="4">
        <s:f>Assumptions!B18</s:f>
        <s:v>-12615.2</s:v>
      </s:c>
      <s:c r="C10" s="2" t="n"/>
      <s:c r="D10" s="2" t="n"/>
      <s:c r="E10" s="2" t="n"/>
      <s:c r="F10" s="2" t="n"/>
    </s:row>
    <s:row r="11">
      <s:c r="A11" s="2" t="inlineStr">
        <s:is>
          <s:t>Equity value</s:t>
        </s:is>
      </s:c>
      <s:c r="B11" s="5">
        <s:f>B9+B10</s:f>
        <s:v>45448.04284986929</s:v>
      </s:c>
      <s:c r="C11" s="2" t="n"/>
      <s:c r="D11" s="2" t="n"/>
      <s:c r="E11" s="2" t="n"/>
      <s:c r="F11" s="2" t="n"/>
    </s:row>
    <s:row r="12">
      <s:c r="A12" s="2" t="inlineStr">
        <s:is>
          <s:t>Shares</s:t>
        </s:is>
      </s:c>
      <s:c r="B12" s="4">
        <s:f>Assumptions!B19</s:f>
        <s:v>1136.9</s:v>
      </s:c>
      <s:c r="C12" s="2" t="n"/>
      <s:c r="D12" s="2" t="n"/>
      <s:c r="E12" s="2" t="n"/>
      <s:c r="F12" s="2" t="n"/>
    </s:row>
    <s:row r="13">
      <s:c r="A13" s="2" t="inlineStr">
        <s:is>
          <s:t>Per-share value</s:t>
        </s:is>
      </s:c>
      <s:c r="B13" s="5">
        <s:f>B11/B12</s:f>
        <s:v>39.97540931468844</s:v>
      </s:c>
      <s:c r="C13" s="2" t="n"/>
      <s:c r="D13" s="2" t="n"/>
      <s:c r="E13" s="2" t="n"/>
      <s:c r="F13" s="2" t="n"/>
    </s:row>
    <s:row r="14">
      <s:c r="A14" s="2" t="inlineStr">
        <s:is>
          <s:t>Terminal weight</s:t>
        </s:is>
      </s:c>
      <s:c r="B14" s="5">
        <s:f>B8/B9</s:f>
        <s:v>0.7882779025537872</s:v>
      </s:c>
      <s:c r="C14" s="2" t="n"/>
      <s:c r="D14" s="2" t="n"/>
      <s:c r="E14" s="2" t="n"/>
      <s:c r="F14" s="2" t="n"/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1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  <s:row r="2">
      <s:c r="A2" s="2" t="n">
        <s:v>2024</s:v>
      </s:c>
      <s:c r="B2" s="2" t="inlineStr">
        <s:is>
          <s:t>capex</s:t>
        </s:is>
      </s:c>
      <s:c r="C2" s="2" t="n">
        <s:v>2777.5</s:v>
      </s:c>
    </s:row>
    <s:row r="3">
      <s:c r="A3" s="2" t="n">
        <s:v>2024</s:v>
      </s:c>
      <s:c r="B3" s="2" t="inlineStr">
        <s:is>
          <s:t>company_revenue</s:t>
        </s:is>
      </s:c>
      <s:c r="C3" s="2" t="n">
        <s:v>29765.9</s:v>
      </s:c>
    </s:row>
    <s:row r="4">
      <s:c r="A4" s="2" t="n">
        <s:v>2024</s:v>
      </s:c>
      <s:c r="B4" s="2" t="inlineStr">
        <s:is>
          <s:t>da</s:t>
        </s:is>
      </s:c>
      <s:c r="C4" s="2" t="n">
        <s:v>1592.4</s:v>
      </s:c>
    </s:row>
    <s:row r="5">
      <s:c r="A5" s="2" t="n">
        <s:v>2024</s:v>
      </s:c>
      <s:c r="B5" s="2" t="inlineStr">
        <s:is>
          <s:t>ebit</s:t>
        </s:is>
      </s:c>
      <s:c r="C5" s="2" t="n">
        <s:v>5408.8</s:v>
      </s:c>
    </s:row>
    <s:row r="6">
      <s:c r="A6" s="2" t="n">
        <s:v>2024</s:v>
      </s:c>
      <s:c r="B6" s="2" t="inlineStr">
        <s:is>
          <s:t>licensed_revenue</s:t>
        </s:is>
      </s:c>
      <s:c r="C6" s="2" t="n">
        <s:v>4505.1</s:v>
      </s:c>
    </s:row>
    <s:row r="7">
      <s:c r="A7" s="2" t="n">
        <s:v>2024</s:v>
      </s:c>
      <s:c r="B7" s="2" t="inlineStr">
        <s:is>
          <s:t>operating_cash_flow</s:t>
        </s:is>
      </s:c>
      <s:c r="C7" s="2" t="n">
        <s:v>6095.6</s:v>
      </s:c>
    </s:row>
    <s:row r="8">
      <s:c r="A8" s="2" t="n">
        <s:v>2024</s:v>
      </s:c>
      <s:c r="B8" s="2" t="inlineStr">
        <s:is>
          <s:t>other_revenue</s:t>
        </s:is>
      </s:c>
      <s:c r="C8" s="2" t="n">
        <s:v>1905.2</s:v>
      </s:c>
    </s:row>
    <s:row r="9">
      <s:c r="A9" s="2" t="n">
        <s:v>2024</s:v>
      </s:c>
      <s:c r="B9" s="2" t="inlineStr">
        <s:is>
          <s:t>revenue</s:t>
        </s:is>
      </s:c>
      <s:c r="C9" s="2" t="n">
        <s:v>36176.2</s:v>
      </s:c>
    </s:row>
    <s:row r="10">
      <s:c r="A10" s="2" t="n">
        <s:v>2025</s:v>
      </s:c>
      <s:c r="B10" s="2" t="inlineStr">
        <s:is>
          <s:t>capex</s:t>
        </s:is>
      </s:c>
      <s:c r="C10" s="2" t="n">
        <s:v>2305.5</s:v>
      </s:c>
    </s:row>
    <s:row r="11">
      <s:c r="A11" s="2" t="n">
        <s:v>2025</s:v>
      </s:c>
      <s:c r="B11" s="2" t="inlineStr">
        <s:is>
          <s:t>company_revenue</s:t>
        </s:is>
      </s:c>
      <s:c r="C11" s="2" t="n">
        <s:v>30744.8</s:v>
      </s:c>
    </s:row>
    <s:row r="12">
      <s:c r="A12" s="2" t="n">
        <s:v>2025</s:v>
      </s:c>
      <s:c r="B12" s="2" t="inlineStr">
        <s:is>
          <s:t>da</s:t>
        </s:is>
      </s:c>
      <s:c r="C12" s="2" t="n">
        <s:v>1771.5</s:v>
      </s:c>
    </s:row>
    <s:row r="13">
      <s:c r="A13" s="2" t="n">
        <s:v>2025</s:v>
      </s:c>
      <s:c r="B13" s="2" t="inlineStr">
        <s:is>
          <s:t>ebit</s:t>
        </s:is>
      </s:c>
      <s:c r="C13" s="2" t="n">
        <s:v>2936.6</s:v>
      </s:c>
    </s:row>
    <s:row r="14">
      <s:c r="A14" s="2" t="n">
        <s:v>2025</s:v>
      </s:c>
      <s:c r="B14" s="2" t="inlineStr">
        <s:is>
          <s:t>licensed_revenue</s:t>
        </s:is>
      </s:c>
      <s:c r="C14" s="2" t="n">
        <s:v>4350.4</s:v>
      </s:c>
    </s:row>
    <s:row r="15">
      <s:c r="A15" s="2" t="n">
        <s:v>2025</s:v>
      </s:c>
      <s:c r="B15" s="2" t="inlineStr">
        <s:is>
          <s:t>operating_cash_flow</s:t>
        </s:is>
      </s:c>
      <s:c r="C15" s="2" t="n">
        <s:v>4747.5</s:v>
      </s:c>
    </s:row>
    <s:row r="16">
      <s:c r="A16" s="2" t="n">
        <s:v>2025</s:v>
      </s:c>
      <s:c r="B16" s="2" t="inlineStr">
        <s:is>
          <s:t>other_revenue</s:t>
        </s:is>
      </s:c>
      <s:c r="C16" s="2" t="n">
        <s:v>2089.2</s:v>
      </s:c>
    </s:row>
    <s:row r="17">
      <s:c r="A17" s="2" t="n">
        <s:v>2025</s:v>
      </s:c>
      <s:c r="B17" s="2" t="inlineStr">
        <s:is>
          <s:t>revenue</s:t>
        </s:is>
      </s:c>
      <s:c r="C17" s="2" t="n">
        <s:v>37184.4</s:v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17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starbucks — base</dc:title>
  <dcterms:created xsi:type="dcterms:W3CDTF">2000-01-01T00:00:00Z</dcterms:created>
  <dcterms:modified xsi:type="dcterms:W3CDTF">2000-01-01T00:00:00Z</dcterms:modified>
</cp:coreProperties>
</file>