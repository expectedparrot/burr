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Model" sheetId="2" state="visible" r:id="rId2"/>
    <sheet name="DCF" sheetId="3" state="visible" r:id="rId3"/>
    <sheet name="Actuals" sheetId="4" state="visible" r:id="rId4"/>
  </sheets>
  <definedNames>
    <definedName name="_xlnm._FilterDatabase" localSheetId="0" hidden="1">'Assumptions'!$A$1:$A$1</definedName>
    <definedName name="_xlnm._FilterDatabase" localSheetId="1" hidden="1">'Model'!$A$1:$A$1</definedName>
    <definedName name="_xlnm._FilterDatabase" localSheetId="2" hidden="1">'DCF'!$A$1:$A$1</definedName>
    <definedName name="_xlnm._FilterDatabase" localSheetId="3" hidden="1">'Actuals'!$A$1:$C$5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;[Red](#,##0.00)"/>
  </numFmts>
  <fonts count="6">
    <font>
      <name val="Calibri"/>
      <family val="2"/>
      <color theme="1"/>
      <sz val="11"/>
      <scheme val="minor"/>
    </font>
    <font>
      <name val="Aptos"/>
      <color rgb="00000000"/>
      <sz val="11"/>
    </font>
    <font>
      <name val="Aptos"/>
      <b val="1"/>
      <color rgb="00FFFFFF"/>
    </font>
    <font>
      <name val="Aptos"/>
      <color rgb="000000FF"/>
    </font>
    <font>
      <name val="Aptos"/>
      <color rgb="00008000"/>
    </font>
    <font>
      <name val="Aptos"/>
      <color rgb="00000000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164" fontId="3" fillId="0" borderId="0" applyProtection="1" pivotButton="0" quotePrefix="0" xfId="0">
      <protection locked="0" hidden="0"/>
    </xf>
    <xf numFmtId="165" fontId="4" fillId="0" borderId="0" pivotButton="0" quotePrefix="0" xfId="0"/>
    <xf numFmtId="165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burr</author>
  </authors>
  <commentList>
    <comment ref="A3" authorId="0" shapeId="0">
      <text>
        <t>rationale: word of mouth fades</t>
      </text>
    </comment>
    <comment ref="A4" authorId="0" shapeId="0">
      <text>
        <t>source: last summer's tally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D9"/>
  <s:sheetViews>
    <s:sheetView showGridLines="0"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0" customWidth="1" min="1" max="1"/>
    <s:col width="18" customWidth="1" min="2" max="2"/>
    <s:col width="18" customWidth="1" min="3" max="3"/>
    <s:col width="18" customWidth="1" min="4" max="4"/>
  </s:cols>
  <s:sheetData>
    <s:row r="1">
      <s:c r="A1" s="1" t="inlineStr">
        <s:is>
          <s:t>Line</s:t>
        </s:is>
      </s:c>
      <s:c r="B1" s="1" t="n">
        <s:v>2027</s:v>
      </s:c>
      <s:c r="C1" s="1" t="n">
        <s:v>2028</s:v>
      </s:c>
      <s:c r="D1" s="1" t="n">
        <s:v>2029</s:v>
      </s:c>
    </s:row>
    <s:row r="2">
      <s:c r="A2" s="2" t="inlineStr">
        <s:is>
          <s:t>cost_pct</s:t>
        </s:is>
      </s:c>
      <s:c r="B2" s="3" t="n">
        <s:v>0.4</s:v>
      </s:c>
      <s:c r="C2" s="3" t="n">
        <s:v>0.4</s:v>
      </s:c>
      <s:c r="D2" s="3" t="n">
        <s:v>0.4</s:v>
      </s:c>
    </s:row>
    <s:row r="3">
      <s:c r="A3" s="2" t="inlineStr">
        <s:is>
          <s:t>cup_growth</s:t>
        </s:is>
      </s:c>
      <s:c r="B3" s="3" t="n">
        <s:v>0.1</s:v>
      </s:c>
      <s:c r="C3" s="3" t="n">
        <s:v>0.07500000000000001</s:v>
      </s:c>
      <s:c r="D3" s="3" t="n">
        <s:v>0.05</s:v>
      </s:c>
    </s:row>
    <s:row r="4">
      <s:c r="A4" s="2" t="inlineStr">
        <s:is>
          <s:t>cups0</s:t>
        </s:is>
      </s:c>
      <s:c r="B4" s="3" t="n">
        <s:v>1000</s:v>
      </s:c>
      <s:c r="C4" s="3" t="n">
        <s:v>1000</s:v>
      </s:c>
      <s:c r="D4" s="3" t="n">
        <s:v>1000</s:v>
      </s:c>
    </s:row>
    <s:row r="5">
      <s:c r="A5" s="2" t="inlineStr">
        <s:is>
          <s:t>price</s:t>
        </s:is>
      </s:c>
      <s:c r="B5" s="3" t="n">
        <s:v>2.5</s:v>
      </s:c>
      <s:c r="C5" s="3" t="n">
        <s:v>2.5</s:v>
      </s:c>
      <s:c r="D5" s="3" t="n">
        <s:v>2.5</s:v>
      </s:c>
    </s:row>
    <s:row r="6">
      <s:c r="A6" s="2" t="inlineStr">
        <s:is>
          <s:t>valuation.wacc</s:t>
        </s:is>
      </s:c>
      <s:c r="B6" s="3" t="n">
        <s:v>0.2</s:v>
      </s:c>
      <s:c r="C6" s="3" t="n">
        <s:v>0.2</s:v>
      </s:c>
      <s:c r="D6" s="3" t="n">
        <s:v>0.2</s:v>
      </s:c>
    </s:row>
    <s:row r="7">
      <s:c r="A7" s="2" t="inlineStr">
        <s:is>
          <s:t>valuation.terminal_growth</s:t>
        </s:is>
      </s:c>
      <s:c r="B7" s="3" t="n">
        <s:v>0</s:v>
      </s:c>
      <s:c r="C7" s="3" t="n">
        <s:v>0</s:v>
      </s:c>
      <s:c r="D7" s="3" t="n">
        <s:v>0</s:v>
      </s:c>
    </s:row>
    <s:row r="8">
      <s:c r="A8" s="2" t="inlineStr">
        <s:is>
          <s:t>valuation.net_cash</s:t>
        </s:is>
      </s:c>
      <s:c r="B8" s="3" t="n">
        <s:v>0</s:v>
      </s:c>
      <s:c r="C8" s="3" t="n">
        <s:v>0</s:v>
      </s:c>
      <s:c r="D8" s="3" t="n">
        <s:v>0</s:v>
      </s:c>
    </s:row>
    <s:row r="9">
      <s:c r="A9" s="2" t="inlineStr">
        <s:is>
          <s:t>valuation.shares</s:t>
        </s:is>
      </s:c>
      <s:c r="B9" s="3" t="n">
        <s:v>2</s:v>
      </s:c>
      <s:c r="C9" s="3" t="n">
        <s:v>2</s:v>
      </s:c>
      <s:c r="D9" s="3" t="n">
        <s:v>2</s:v>
      </s:c>
    </s:row>
  </s:sheetData>
  <s:autoFilter ref="A1:A1"/>
  <s:pageMargins left="0.75" right="0.75" top="1" bottom="1" header="0.5" footer="0.5"/>
  <s:legacyDrawing r:id="anysvml"/>
</s: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A1:D5"/>
  <s:sheetViews>
    <s:sheetView showGridLines="0"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0" customWidth="1" min="1" max="1"/>
    <s:col width="18" customWidth="1" min="2" max="2"/>
    <s:col width="18" customWidth="1" min="3" max="3"/>
    <s:col width="18" customWidth="1" min="4" max="4"/>
  </s:cols>
  <s:sheetData>
    <s:row r="1">
      <s:c r="A1" s="1" t="inlineStr">
        <s:is>
          <s:t>Line</s:t>
        </s:is>
      </s:c>
      <s:c r="B1" s="1" t="n">
        <s:v>2027</s:v>
      </s:c>
      <s:c r="C1" s="1" t="n">
        <s:v>2028</s:v>
      </s:c>
      <s:c r="D1" s="1" t="n">
        <s:v>2029</s:v>
      </s:c>
    </s:row>
    <s:row r="2">
      <s:c r="A2" s="2" t="inlineStr">
        <s:is>
          <s:t>cups</s:t>
        </s:is>
      </s:c>
      <s:c r="B2" s="4">
        <s:f>(Assumptions!B4*B5)</s:f>
        <s:v>1100.0</s:v>
      </s:c>
      <s:c r="C2" s="4">
        <s:f>(Assumptions!B4*C5)</s:f>
        <s:v>1182.5</s:v>
      </s:c>
      <s:c r="D2" s="4">
        <s:f>(Assumptions!B4*D5)</s:f>
        <s:v>1241.6250000000002</s:v>
      </s:c>
    </s:row>
    <s:row r="3">
      <s:c r="A3" s="2" t="inlineStr">
        <s:is>
          <s:t>profit</s:t>
        </s:is>
      </s:c>
      <s:c r="B3" s="4">
        <s:f>(B4*(1-Assumptions!B2))</s:f>
        <s:v>1650.0</s:v>
      </s:c>
      <s:c r="C3" s="4">
        <s:f>(C4*(1-Assumptions!C2))</s:f>
        <s:v>1773.75</s:v>
      </s:c>
      <s:c r="D3" s="4">
        <s:f>(D4*(1-Assumptions!D2))</s:f>
        <s:v>1862.4375000000002</s:v>
      </s:c>
    </s:row>
    <s:row r="4">
      <s:c r="A4" s="2" t="inlineStr">
        <s:is>
          <s:t>revenue</s:t>
        </s:is>
      </s:c>
      <s:c r="B4" s="4">
        <s:f>(B2*Assumptions!B5)</s:f>
        <s:v>2750.0</s:v>
      </s:c>
      <s:c r="C4" s="4">
        <s:f>(C2*Assumptions!C5)</s:f>
        <s:v>2956.25</s:v>
      </s:c>
      <s:c r="D4" s="4">
        <s:f>(D2*Assumptions!D5)</s:f>
        <s:v>3104.0625000000005</s:v>
      </s:c>
    </s:row>
    <s:row r="5" hidden="1">
      <s:c r="A5" s="2" t="inlineStr">
        <s:is>
          <s:t>_grow_factor_1</s:t>
        </s:is>
      </s:c>
      <s:c r="B5" s="4">
        <s:f>(1*(1+Assumptions!B3))</s:f>
        <s:v>1.1</s:v>
      </s:c>
      <s:c r="C5" s="4">
        <s:f>(B5*(1+Assumptions!C3))</s:f>
        <s:v>1.1825</s:v>
      </s:c>
      <s:c r="D5" s="4">
        <s:f>(C5*(1+Assumptions!D3))</s:f>
        <s:v>1.2416250000000002</s:v>
      </s:c>
    </s:row>
  </s:sheetData>
  <s:autoFilter ref="A1:A1"/>
  <s:pageMargins left="0.75" right="0.75" top="1" bottom="1" header="0.5" footer="0.5"/>
</s:worksheet>
</file>

<file path=xl/worksheets/sheet3.xml><?xml version="1.0" encoding="utf-8"?>
<s:worksheet xmlns:s="http://schemas.openxmlformats.org/spreadsheetml/2006/main">
  <s:sheetPr>
    <s:outlinePr summaryBelow="1" summaryRight="1"/>
    <s:pageSetUpPr/>
  </s:sheetPr>
  <s:dimension ref="A1:D14"/>
  <s:sheetViews>
    <s:sheetView showGridLines="0"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0" customWidth="1" min="1" max="1"/>
    <s:col width="18" customWidth="1" min="2" max="2"/>
    <s:col width="18" customWidth="1" min="3" max="3"/>
    <s:col width="18" customWidth="1" min="4" max="4"/>
  </s:cols>
  <s:sheetData>
    <s:row r="1">
      <s:c r="A1" s="1" t="inlineStr">
        <s:is>
          <s:t>Line</s:t>
        </s:is>
      </s:c>
      <s:c r="B1" s="1" t="n">
        <s:v>2027</s:v>
      </s:c>
      <s:c r="C1" s="1" t="n">
        <s:v>2028</s:v>
      </s:c>
      <s:c r="D1" s="1" t="n">
        <s:v>2029</s:v>
      </s:c>
    </s:row>
    <s:row r="2">
      <s:c r="A2" s="2" t="inlineStr">
        <s:is>
          <s:t>FCF</s:t>
        </s:is>
      </s:c>
      <s:c r="B2" s="4">
        <s:f>Model!B3</s:f>
        <s:v>1650.0</s:v>
      </s:c>
      <s:c r="C2" s="4">
        <s:f>Model!C3</s:f>
        <s:v>1773.75</s:v>
      </s:c>
      <s:c r="D2" s="4">
        <s:f>Model!D3</s:f>
        <s:v>1862.4375000000002</s:v>
      </s:c>
    </s:row>
    <s:row r="3">
      <s:c r="A3" s="2" t="inlineStr">
        <s:is>
          <s:t>WACC</s:t>
        </s:is>
      </s:c>
      <s:c r="B3" s="4">
        <s:f>Assumptions!B6</s:f>
        <s:v>0.2</s:v>
      </s:c>
      <s:c r="C3" s="4">
        <s:f>Assumptions!C6</s:f>
        <s:v>0.2</s:v>
      </s:c>
      <s:c r="D3" s="4">
        <s:f>Assumptions!D6</s:f>
        <s:v>0.2</s:v>
      </s:c>
    </s:row>
    <s:row r="4">
      <s:c r="A4" s="2" t="inlineStr">
        <s:is>
          <s:t>Discount factor</s:t>
        </s:is>
      </s:c>
      <s:c r="B4" s="5">
        <s:f>1*(1+B3)</s:f>
        <s:v>1.2</s:v>
      </s:c>
      <s:c r="C4" s="5">
        <s:f>B4*(1+C3)</s:f>
        <s:v>1.44</s:v>
      </s:c>
      <s:c r="D4" s="5">
        <s:f>C4*(1+D3)</s:f>
        <s:v>1.728</s:v>
      </s:c>
    </s:row>
    <s:row r="5">
      <s:c r="A5" s="2" t="inlineStr">
        <s:is>
          <s:t>Present value</s:t>
        </s:is>
      </s:c>
      <s:c r="B5" s="5">
        <s:f>B2/B4</s:f>
        <s:v>1375.0</s:v>
      </s:c>
      <s:c r="C5" s="5">
        <s:f>C2/C4</s:f>
        <s:v>1231.7708333333335</s:v>
      </s:c>
      <s:c r="D5" s="5">
        <s:f>D2/D4</s:f>
        <s:v>1077.7994791666667</s:v>
      </s:c>
    </s:row>
    <s:row r="6">
      <s:c r="A6" s="2" t="n"/>
      <s:c r="B6" s="2" t="n"/>
      <s:c r="C6" s="2" t="n"/>
      <s:c r="D6" s="2" t="n"/>
    </s:row>
    <s:row r="7">
      <s:c r="A7" s="2" t="inlineStr">
        <s:is>
          <s:t>Terminal value</s:t>
        </s:is>
      </s:c>
      <s:c r="B7" s="4">
        <s:f>D2*(1+Assumptions!D7)/(D3-Assumptions!D7)</s:f>
        <s:v>9312.1875</s:v>
      </s:c>
      <s:c r="C7" s="2" t="n"/>
      <s:c r="D7" s="2" t="n"/>
    </s:row>
    <s:row r="8">
      <s:c r="A8" s="2" t="inlineStr">
        <s:is>
          <s:t>Terminal present value</s:t>
        </s:is>
      </s:c>
      <s:c r="B8" s="5">
        <s:f>B7/D4</s:f>
        <s:v>5388.997395833333</s:v>
      </s:c>
      <s:c r="C8" s="2" t="n"/>
      <s:c r="D8" s="2" t="n"/>
    </s:row>
    <s:row r="9">
      <s:c r="A9" s="2" t="inlineStr">
        <s:is>
          <s:t>Enterprise value</s:t>
        </s:is>
      </s:c>
      <s:c r="B9" s="5">
        <s:f>SUM(B5:D5)+B8</s:f>
        <s:v>9073.567708333332</s:v>
      </s:c>
      <s:c r="C9" s="2" t="n"/>
      <s:c r="D9" s="2" t="n"/>
    </s:row>
    <s:row r="10">
      <s:c r="A10" s="2" t="inlineStr">
        <s:is>
          <s:t>Net cash</s:t>
        </s:is>
      </s:c>
      <s:c r="B10" s="4">
        <s:f>Assumptions!B8</s:f>
        <s:v>0.0</s:v>
      </s:c>
      <s:c r="C10" s="2" t="n"/>
      <s:c r="D10" s="2" t="n"/>
    </s:row>
    <s:row r="11">
      <s:c r="A11" s="2" t="inlineStr">
        <s:is>
          <s:t>Equity value</s:t>
        </s:is>
      </s:c>
      <s:c r="B11" s="5">
        <s:f>B9+B10</s:f>
        <s:v>9073.567708333332</s:v>
      </s:c>
      <s:c r="C11" s="2" t="n"/>
      <s:c r="D11" s="2" t="n"/>
    </s:row>
    <s:row r="12">
      <s:c r="A12" s="2" t="inlineStr">
        <s:is>
          <s:t>Shares</s:t>
        </s:is>
      </s:c>
      <s:c r="B12" s="4">
        <s:f>Assumptions!B9</s:f>
        <s:v>2.0</s:v>
      </s:c>
      <s:c r="C12" s="2" t="n"/>
      <s:c r="D12" s="2" t="n"/>
    </s:row>
    <s:row r="13">
      <s:c r="A13" s="2" t="inlineStr">
        <s:is>
          <s:t>Per-share value</s:t>
        </s:is>
      </s:c>
      <s:c r="B13" s="5">
        <s:f>B11/B12</s:f>
        <s:v>4536.783854166666</s:v>
      </s:c>
      <s:c r="C13" s="2" t="n"/>
      <s:c r="D13" s="2" t="n"/>
    </s:row>
    <s:row r="14">
      <s:c r="A14" s="2" t="inlineStr">
        <s:is>
          <s:t>Terminal weight</s:t>
        </s:is>
      </s:c>
      <s:c r="B14" s="5">
        <s:f>B8/B9</s:f>
        <s:v>0.5939226519337018</s:v>
      </s:c>
      <s:c r="C14" s="2" t="n"/>
      <s:c r="D14" s="2" t="n"/>
    </s:row>
  </s:sheetData>
  <s:autoFilter ref="A1:A1"/>
  <s:pageMargins left="0.75" right="0.75" top="1" bottom="1" header="0.5" footer="0.5"/>
</s:worksheet>
</file>

<file path=xl/worksheets/sheet4.xml><?xml version="1.0" encoding="utf-8"?>
<s:worksheet xmlns:s="http://schemas.openxmlformats.org/spreadsheetml/2006/main">
  <s:sheetPr>
    <s:outlinePr summaryBelow="1" summaryRight="1"/>
    <s:pageSetUpPr/>
  </s:sheetPr>
  <s:dimension ref="A1:C5"/>
  <s:sheetViews>
    <s:sheetView showGridLines="0"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0" customWidth="1" min="1" max="1"/>
    <s:col width="18" customWidth="1" min="2" max="2"/>
    <s:col width="18" customWidth="1" min="3" max="3"/>
    <s:col width="18" customWidth="1" min="4" max="4"/>
  </s:cols>
  <s:sheetData>
    <s:row r="1">
      <s:c r="A1" s="1" t="inlineStr">
        <s:is>
          <s:t>period</s:t>
        </s:is>
      </s:c>
      <s:c r="B1" s="1" t="inlineStr">
        <s:is>
          <s:t>line</s:t>
        </s:is>
      </s:c>
      <s:c r="C1" s="1" t="inlineStr">
        <s:is>
          <s:t>value</s:t>
        </s:is>
      </s:c>
    </s:row>
    <s:row r="2">
      <s:c r="A2" s="2" t="n">
        <s:v>2025</s:v>
      </s:c>
      <s:c r="B2" s="2" t="inlineStr">
        <s:is>
          <s:t>cups</s:t>
        </s:is>
      </s:c>
      <s:c r="C2" s="2" t="n">
        <s:v>900</s:v>
      </s:c>
    </s:row>
    <s:row r="3">
      <s:c r="A3" s="2" t="n">
        <s:v>2025</s:v>
      </s:c>
      <s:c r="B3" s="2" t="inlineStr">
        <s:is>
          <s:t>revenue</s:t>
        </s:is>
      </s:c>
      <s:c r="C3" s="2" t="n">
        <s:v>2160</s:v>
      </s:c>
    </s:row>
    <s:row r="4">
      <s:c r="A4" s="2" t="n">
        <s:v>2026</s:v>
      </s:c>
      <s:c r="B4" s="2" t="inlineStr">
        <s:is>
          <s:t>cups</s:t>
        </s:is>
      </s:c>
      <s:c r="C4" s="2" t="n">
        <s:v>1000</s:v>
      </s:c>
    </s:row>
    <s:row r="5">
      <s:c r="A5" s="2" t="n">
        <s:v>2026</s:v>
      </s:c>
      <s:c r="B5" s="2" t="inlineStr">
        <s:is>
          <s:t>revenue</s:t>
        </s:is>
      </s:c>
      <s:c r="C5" s="2" t="n">
        <s:v>2500</s:v>
      </s:c>
    </s:row>
  </s:sheetData>
  <s: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D8D"/>
  <s:autoFilter ref="A1:C5"/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burr</dc:creator>
  <dc:title>stand — base</dc:title>
  <dcterms:created xsi:type="dcterms:W3CDTF">2000-01-01T00:00:00Z</dcterms:created>
  <dcterms:modified xsi:type="dcterms:W3CDTF">2000-01-01T00:00:00Z</dcterms:modified>
</cp:coreProperties>
</file>